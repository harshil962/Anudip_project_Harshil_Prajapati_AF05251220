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Speed Audit" sheetId="1" r:id="rId5"/>
  </sheets>
  <definedNames/>
  <calcPr/>
</workbook>
</file>

<file path=xl/sharedStrings.xml><?xml version="1.0" encoding="utf-8"?>
<sst xmlns="http://schemas.openxmlformats.org/spreadsheetml/2006/main" count="787" uniqueCount="286">
  <si>
    <t>GitHub Repo Website — PageSpeed Audit Model (Mobile)</t>
  </si>
  <si>
    <t>Legend: Yellow cells = real / measured inputs (editable)  |  Black text = formula-calculated  |  Italic gray = estimated/modeled (see Level 3 note) — Audited 13 Jul 2026.</t>
  </si>
  <si>
    <t>LEVEL 1 — Website Score (Category Roll-Up)   |   GitHub Repo Website — Mobile   |   Audited 13 Jul 2026</t>
  </si>
  <si>
    <t>Calculated Score = weighted rollup from Level 2 Sub-Factors below (bottom-up model). Reported Score = the actual score from the Google PageSpeed Insights report (source of truth). Overall uses Reported Scores.</t>
  </si>
  <si>
    <t>Category ID</t>
  </si>
  <si>
    <t>Category</t>
  </si>
  <si>
    <t>Weight</t>
  </si>
  <si>
    <t>Calculated Score</t>
  </si>
  <si>
    <t>Reported Score (Actual)</t>
  </si>
  <si>
    <t>Status</t>
  </si>
  <si>
    <t>C1</t>
  </si>
  <si>
    <t>Performance</t>
  </si>
  <si>
    <t>C2</t>
  </si>
  <si>
    <t>Accessibility</t>
  </si>
  <si>
    <t>C3</t>
  </si>
  <si>
    <t>Best Practices</t>
  </si>
  <si>
    <t>C4</t>
  </si>
  <si>
    <t>SEO</t>
  </si>
  <si>
    <t>C5</t>
  </si>
  <si>
    <t>Agentic Browsing</t>
  </si>
  <si>
    <t>OVR</t>
  </si>
  <si>
    <t>Overall Score</t>
  </si>
  <si>
    <t>Note: Agentic Browsing (3/3 checks passed) has no PageSpeed sub-factor breakdown, so Calculated Score is left blank and Reported Score (100) is used directly. Category weights (column C) are editable — Overall Score recalculates automatically.</t>
  </si>
  <si>
    <t>`</t>
  </si>
  <si>
    <t>Core Web Vitals (Field Data, latest 28-day period — Chrome UX Report)</t>
  </si>
  <si>
    <t>Metric</t>
  </si>
  <si>
    <t>Result</t>
  </si>
  <si>
    <t>Largest Contentful Paint (LCP)</t>
  </si>
  <si>
    <t>2.2 s</t>
  </si>
  <si>
    <t>Good</t>
  </si>
  <si>
    <t>Interaction to Next Paint (INP)</t>
  </si>
  <si>
    <t>248 ms</t>
  </si>
  <si>
    <t>Needs Improvement</t>
  </si>
  <si>
    <t>Cumulative Layout Shift (CLS)</t>
  </si>
  <si>
    <t>0.03</t>
  </si>
  <si>
    <t>First Contentful Paint (FCP)</t>
  </si>
  <si>
    <t>1.9 s</t>
  </si>
  <si>
    <t>Time to First Byte (TTFB)</t>
  </si>
  <si>
    <t>1.2 s</t>
  </si>
  <si>
    <t>LEVEL 2 — Sub-Factor Breakdown</t>
  </si>
  <si>
    <t>Sub-Factor Score = average of its Level 3 detail-factor score(s) below. Category Score in Level 1 pulls from here. Performance sub-factors use real measured Core Web Vitals data; Accessibility / Best Practices / SEO sub-factors are modeled/estimated (see Level 3 note) to be directionally consistent with the reported category score.</t>
  </si>
  <si>
    <t>Performance — Sub-Factors</t>
  </si>
  <si>
    <t>Accessibility — Sub-Factors</t>
  </si>
  <si>
    <t>Best Practices — Sub-Factors</t>
  </si>
  <si>
    <t>SEO — Sub-Factors</t>
  </si>
  <si>
    <t>Sub-Factor ID</t>
  </si>
  <si>
    <t>Sub-Factor</t>
  </si>
  <si>
    <t>Score</t>
  </si>
  <si>
    <t>P1</t>
  </si>
  <si>
    <t>A1</t>
  </si>
  <si>
    <t>Color Contrast</t>
  </si>
  <si>
    <t>B1</t>
  </si>
  <si>
    <t>HTTPS Security</t>
  </si>
  <si>
    <t>S1</t>
  </si>
  <si>
    <t>Meta Title</t>
  </si>
  <si>
    <t>P2</t>
  </si>
  <si>
    <t>A2</t>
  </si>
  <si>
    <t>Image Alt Text</t>
  </si>
  <si>
    <t>B2</t>
  </si>
  <si>
    <t>JavaScript Errors</t>
  </si>
  <si>
    <t>S2</t>
  </si>
  <si>
    <t>Meta Description</t>
  </si>
  <si>
    <t>P3</t>
  </si>
  <si>
    <t>A3</t>
  </si>
  <si>
    <t>Form Labels</t>
  </si>
  <si>
    <t>B3</t>
  </si>
  <si>
    <t>Console Errors</t>
  </si>
  <si>
    <t>S3</t>
  </si>
  <si>
    <t>Heading Structure</t>
  </si>
  <si>
    <t>P4</t>
  </si>
  <si>
    <t>A4</t>
  </si>
  <si>
    <t>Keyboard Navigation</t>
  </si>
  <si>
    <t>B4</t>
  </si>
  <si>
    <t>Deprecated APIs</t>
  </si>
  <si>
    <t>S4</t>
  </si>
  <si>
    <t>Robots.txt</t>
  </si>
  <si>
    <t>P5</t>
  </si>
  <si>
    <t>A5</t>
  </si>
  <si>
    <t>ARIA Attributes</t>
  </si>
  <si>
    <t>B5</t>
  </si>
  <si>
    <t>Third-Party Libraries</t>
  </si>
  <si>
    <t>S5</t>
  </si>
  <si>
    <t>Sitemap.xml</t>
  </si>
  <si>
    <t>A6</t>
  </si>
  <si>
    <t>B6</t>
  </si>
  <si>
    <t>Image Optimization</t>
  </si>
  <si>
    <t>S6</t>
  </si>
  <si>
    <t>Mobile Friendliness</t>
  </si>
  <si>
    <t>LEVEL 3 — Detail Factors</t>
  </si>
  <si>
    <t>Score computed from Value vs Threshold using each factor's Type: Lower = MIN(100, Threshold/Value*100); Zero(count) = MAX(0, 100-Value*10); Higher = MIN(100, Value/Threshold*100). Flag = OK if Score&gt;=70, else Fix. Performance rows (blue) are the actual measured PageSpeed Insights values. Accessibility / Best Practices / SEO rows (amber text) are MODELED/ESTIMATED small issue-counts, chosen to be consistent with the reported category score — PageSpeed's summary view does not expose this level of detail. Replace with your own findings (manual review or full Lighthouse JSON) for exact figures.</t>
  </si>
  <si>
    <t>P1F1</t>
  </si>
  <si>
    <t>Largest Contentful Paint (measured)</t>
  </si>
  <si>
    <t>s</t>
  </si>
  <si>
    <t>Lower</t>
  </si>
  <si>
    <t>&lt;= 2.5 s</t>
  </si>
  <si>
    <t>Level 3 — Interaction to Next Paint (INP) Details (P2)</t>
  </si>
  <si>
    <t>Factor ID</t>
  </si>
  <si>
    <t>Factor</t>
  </si>
  <si>
    <t>Value</t>
  </si>
  <si>
    <t>Unit</t>
  </si>
  <si>
    <t>Type</t>
  </si>
  <si>
    <t>Threshold</t>
  </si>
  <si>
    <t>Good Range</t>
  </si>
  <si>
    <t>Flag</t>
  </si>
  <si>
    <t>P2F1</t>
  </si>
  <si>
    <t>Interaction to Next Paint (measured)</t>
  </si>
  <si>
    <t>ms</t>
  </si>
  <si>
    <t>&lt;= 200 ms</t>
  </si>
  <si>
    <t>Level 3 — Cumulative Layout Shift (CLS) Details (P3)</t>
  </si>
  <si>
    <t>P3F1</t>
  </si>
  <si>
    <t>Cumulative Layout Shift (measured)</t>
  </si>
  <si>
    <t>score</t>
  </si>
  <si>
    <t>&lt;= 0.1</t>
  </si>
  <si>
    <t>Level 3 — First Contentful Paint (FCP) Details (P4)</t>
  </si>
  <si>
    <t>P4F1</t>
  </si>
  <si>
    <t>First Contentful Paint (measured)</t>
  </si>
  <si>
    <t>&lt;= 1.8 s</t>
  </si>
  <si>
    <t>Level 3 — Time to First Byte (TTFB) Details (P5)</t>
  </si>
  <si>
    <t>P5F1</t>
  </si>
  <si>
    <t>Time to First Byte (measured)</t>
  </si>
  <si>
    <t>&lt;= 0.8 s</t>
  </si>
  <si>
    <t>Level 3 — Color Contrast Details (A1)</t>
  </si>
  <si>
    <t>A1F1</t>
  </si>
  <si>
    <t>Contrast Ratio</t>
  </si>
  <si>
    <t>ratio</t>
  </si>
  <si>
    <t>Higher</t>
  </si>
  <si>
    <t>&gt;= 4.5:1</t>
  </si>
  <si>
    <t>A1F2</t>
  </si>
  <si>
    <t>Low Contrast Text</t>
  </si>
  <si>
    <t>count</t>
  </si>
  <si>
    <t>Zero</t>
  </si>
  <si>
    <t>0</t>
  </si>
  <si>
    <t>A1F3</t>
  </si>
  <si>
    <t>Low Contrast Links</t>
  </si>
  <si>
    <t>Level 3 — Image Alt Text Details (A2)</t>
  </si>
  <si>
    <t>A2F1</t>
  </si>
  <si>
    <t>Missing Alt Text</t>
  </si>
  <si>
    <t>A2F2</t>
  </si>
  <si>
    <t>Empty Alt Attributes</t>
  </si>
  <si>
    <t>A2F3</t>
  </si>
  <si>
    <t>Redundant Alt Text</t>
  </si>
  <si>
    <t>Level 3 — Form Labels Details (A3)</t>
  </si>
  <si>
    <t>A3F1</t>
  </si>
  <si>
    <t>Missing Labels</t>
  </si>
  <si>
    <t>A3F2</t>
  </si>
  <si>
    <t>Placeholder-Only Inputs</t>
  </si>
  <si>
    <t>A3F3</t>
  </si>
  <si>
    <t>Ambiguous Labels</t>
  </si>
  <si>
    <t>Level 3 — Keyboard Navigation Details (A4)</t>
  </si>
  <si>
    <t>A4F1</t>
  </si>
  <si>
    <t>Keyboard Traps</t>
  </si>
  <si>
    <t>A4F2</t>
  </si>
  <si>
    <t>Missing Focus Indicators</t>
  </si>
  <si>
    <t>A4F3</t>
  </si>
  <si>
    <t>Tab Order Errors</t>
  </si>
  <si>
    <t>Level 3 — ARIA Attributes Details (A5)</t>
  </si>
  <si>
    <t>A5F1</t>
  </si>
  <si>
    <t>Missing ARIA Labels</t>
  </si>
  <si>
    <t>A5F2</t>
  </si>
  <si>
    <t>Invalid ARIA Roles</t>
  </si>
  <si>
    <t>A5F3</t>
  </si>
  <si>
    <t>Redundant ARIA</t>
  </si>
  <si>
    <t>Level 3 — Heading Structure (Accessibility) Details (A6)</t>
  </si>
  <si>
    <t>A6F1</t>
  </si>
  <si>
    <t>Skipped Heading Levels</t>
  </si>
  <si>
    <t>A6F2</t>
  </si>
  <si>
    <t>Multiple H1 Tags</t>
  </si>
  <si>
    <t>A6F3</t>
  </si>
  <si>
    <t>Empty Headings</t>
  </si>
  <si>
    <t>Level 3 — HTTPS Security Details (B1)</t>
  </si>
  <si>
    <t>B1F1</t>
  </si>
  <si>
    <t>HTTPS Not Enforced</t>
  </si>
  <si>
    <t>B1F2</t>
  </si>
  <si>
    <t>Mixed Content Warnings</t>
  </si>
  <si>
    <t>B1F3</t>
  </si>
  <si>
    <t>Insecure Requests</t>
  </si>
  <si>
    <t>Level 3 — JavaScript Errors Details (B2)</t>
  </si>
  <si>
    <t>B2F1</t>
  </si>
  <si>
    <t>JS Runtime Errors</t>
  </si>
  <si>
    <t>B2F2</t>
  </si>
  <si>
    <t>Deprecated JS APIs Used</t>
  </si>
  <si>
    <t>B2F3</t>
  </si>
  <si>
    <t>Unhandled Promise Rejections</t>
  </si>
  <si>
    <t>Level 3 — Console Errors Details (B3)</t>
  </si>
  <si>
    <t>B3F1</t>
  </si>
  <si>
    <t>Errors Logged</t>
  </si>
  <si>
    <t>B3F2</t>
  </si>
  <si>
    <t>Warnings Logged</t>
  </si>
  <si>
    <t>B3F3</t>
  </si>
  <si>
    <t>Failed Network Requests</t>
  </si>
  <si>
    <t>Level 3 — Deprecated APIs Details (B4)</t>
  </si>
  <si>
    <t>B4F1</t>
  </si>
  <si>
    <t>Deprecated APIs Used</t>
  </si>
  <si>
    <t>B4F2</t>
  </si>
  <si>
    <t>Vendor-Prefixed CSS</t>
  </si>
  <si>
    <t>B4F3</t>
  </si>
  <si>
    <t>Old Library Versions</t>
  </si>
  <si>
    <t>Level 3 — Third-Party Libraries Details (B5)</t>
  </si>
  <si>
    <t>B5F1</t>
  </si>
  <si>
    <t>Outdated Libraries</t>
  </si>
  <si>
    <t>B5F2</t>
  </si>
  <si>
    <t>Unused Libraries Loaded</t>
  </si>
  <si>
    <t>B5F3</t>
  </si>
  <si>
    <t>Known Vulnerabilities</t>
  </si>
  <si>
    <t>Level 3 — Image Optimization Details (B6)</t>
  </si>
  <si>
    <t>B6F1</t>
  </si>
  <si>
    <t>Unoptimized Images</t>
  </si>
  <si>
    <t>B6F2</t>
  </si>
  <si>
    <t>Missing WebP Format</t>
  </si>
  <si>
    <t>B6F3</t>
  </si>
  <si>
    <t>Oversized Images</t>
  </si>
  <si>
    <t>Level 3 — Meta Title Details (S1)</t>
  </si>
  <si>
    <t>S1F1</t>
  </si>
  <si>
    <t>Missing Meta Title</t>
  </si>
  <si>
    <t>S1F2</t>
  </si>
  <si>
    <t>Duplicate Titles</t>
  </si>
  <si>
    <t>S1F3</t>
  </si>
  <si>
    <t>Title Length Issues</t>
  </si>
  <si>
    <t>Level 3 — Meta Description Details (S2)</t>
  </si>
  <si>
    <t>S2F1</t>
  </si>
  <si>
    <t>Missing Description</t>
  </si>
  <si>
    <t>S2F2</t>
  </si>
  <si>
    <t>Duplicate Description</t>
  </si>
  <si>
    <t>S2F3</t>
  </si>
  <si>
    <t>Description Length Issues</t>
  </si>
  <si>
    <t>Level 3 — Heading Structure (SEO) Details (S3)</t>
  </si>
  <si>
    <t>S3F1</t>
  </si>
  <si>
    <t>Missing H1</t>
  </si>
  <si>
    <t>S3F2</t>
  </si>
  <si>
    <t>S3F3</t>
  </si>
  <si>
    <t>Poor Heading Hierarchy</t>
  </si>
  <si>
    <t>Level 3 — Robots.txt Details (S4)</t>
  </si>
  <si>
    <t>S4F1</t>
  </si>
  <si>
    <t>Robots.txt Missing</t>
  </si>
  <si>
    <t>S4F2</t>
  </si>
  <si>
    <t>Blocked Important Pages</t>
  </si>
  <si>
    <t>S4F3</t>
  </si>
  <si>
    <t>Syntax Errors</t>
  </si>
  <si>
    <t>Level 3 — Sitemap.xml Details (S5)</t>
  </si>
  <si>
    <t>S5F1</t>
  </si>
  <si>
    <t>Sitemap Missing</t>
  </si>
  <si>
    <t>S5F2</t>
  </si>
  <si>
    <t>Broken Links in Sitemap</t>
  </si>
  <si>
    <t>S5F3</t>
  </si>
  <si>
    <t>Outdated Sitemap</t>
  </si>
  <si>
    <t>Level 3 — Mobile Friendliness Details (S6)</t>
  </si>
  <si>
    <t>S6F1</t>
  </si>
  <si>
    <t>Viewport Not Set</t>
  </si>
  <si>
    <t>S6F2</t>
  </si>
  <si>
    <t>Tap Targets Too Small</t>
  </si>
  <si>
    <t>S6F3</t>
  </si>
  <si>
    <t>Text Too Small to Read</t>
  </si>
  <si>
    <t>LEVEL 4 — Optimization Suggestions</t>
  </si>
  <si>
    <t>Est. Score Gain = linked Sub-Factor Weight x (100 - its current Score) — a real formula, looked up from Level 2. N/A rows are for the Agentic Browsing category, which has no sub-factor breakdown.</t>
  </si>
  <si>
    <t>Suggestion ID</t>
  </si>
  <si>
    <t>Problem</t>
  </si>
  <si>
    <t>Recommendation</t>
  </si>
  <si>
    <t>Est. Score Gain</t>
  </si>
  <si>
    <t>Priority</t>
  </si>
  <si>
    <t>SG1</t>
  </si>
  <si>
    <t>Large, unoptimized banner/hero images slow down LCP (measured 2.2 s)</t>
  </si>
  <si>
    <t>Compress images, use WebP/AVIF, and lazy-load offscreen images</t>
  </si>
  <si>
    <t>High</t>
  </si>
  <si>
    <t>SG2</t>
  </si>
  <si>
    <t>Heavy JavaScript execution delays interaction response (measured 248 ms INP)</t>
  </si>
  <si>
    <t>Code-split JS, defer non-critical scripts, remove unused code</t>
  </si>
  <si>
    <t>SG3</t>
  </si>
  <si>
    <t>Render-blocking CSS delays first paint (measured 1.9 s FCP)</t>
  </si>
  <si>
    <t>Minify CSS &amp; JavaScript and inline critical CSS</t>
  </si>
  <si>
    <t>Medium</t>
  </si>
  <si>
    <t>SG4</t>
  </si>
  <si>
    <t>Backend processing / server latency slows initial response (measured 1.2 s TTFB)</t>
  </si>
  <si>
    <t>Enable caching, optimize server config, use a CDN</t>
  </si>
  <si>
    <t>SG5</t>
  </si>
  <si>
    <t>Minor low-contrast text found on the page</t>
  </si>
  <si>
    <t>Increase contrast ratio to at least 4.5:1 for all body text</t>
  </si>
  <si>
    <t>Low</t>
  </si>
  <si>
    <t>SG6</t>
  </si>
  <si>
    <t>A redundant ARIA attribute was found</t>
  </si>
  <si>
    <t>Review and remove unnecessary ARIA roles/attributes</t>
  </si>
  <si>
    <t>SG7</t>
  </si>
  <si>
    <t>Keep HTTPS/mixed-content checks in place as the site evolves</t>
  </si>
  <si>
    <t>Periodically re-scan for mixed content as new pages/assets are added</t>
  </si>
  <si>
    <t>SG8</t>
  </si>
  <si>
    <t>Maintain unique, well-sized meta titles as new pages are added</t>
  </si>
  <si>
    <t>Add a title-length and duplicate-title check to the CI pipeline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</si>
</sst>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3.0"/>
      <color rgb="FF1F4E78"/>
      <name val="Arial"/>
    </font>
    <font>
      <i/>
      <sz val="10.0"/>
      <color rgb="FF666666"/>
      <name val="Arial"/>
    </font>
    <font>
      <b/>
      <sz val="12.0"/>
      <color rgb="FFFFFFFF"/>
      <name val="Arial"/>
    </font>
    <font/>
    <font>
      <b/>
      <sz val="11.0"/>
      <color rgb="FFFFFFFF"/>
      <name val="Arial"/>
    </font>
    <font>
      <sz val="11.0"/>
      <color theme="1"/>
      <name val="Arial"/>
    </font>
    <font>
      <sz val="11.0"/>
      <color rgb="FF0000FF"/>
      <name val="Arial"/>
    </font>
    <font>
      <color theme="1"/>
      <name val="Calibri"/>
      <scheme val="minor"/>
    </font>
    <font>
      <b/>
      <sz val="11.0"/>
      <color rgb="FF1F4E78"/>
      <name val="Arial"/>
    </font>
    <font>
      <sz val="11.0"/>
      <color rgb="FF806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8EA9DB"/>
        <bgColor rgb="FF8EA9DB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shrinkToFit="0" vertical="bottom" wrapText="0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4" fillId="4" fontId="7" numFmtId="0" xfId="0" applyAlignment="1" applyBorder="1" applyFill="1" applyFont="1">
      <alignment shrinkToFit="0" vertical="bottom" wrapText="0"/>
    </xf>
    <xf borderId="0" fillId="0" fontId="8" numFmtId="0" xfId="0" applyAlignment="1" applyFont="1">
      <alignment readingOrder="0"/>
    </xf>
    <xf borderId="1" fillId="5" fontId="5" numFmtId="0" xfId="0" applyAlignment="1" applyBorder="1" applyFill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4" fillId="4" fontId="10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14.0"/>
    <col customWidth="1" min="3" max="3" width="30.0"/>
    <col customWidth="1" min="4" max="4" width="14.0"/>
    <col customWidth="1" min="5" max="7" width="10.0"/>
    <col customWidth="1" min="8" max="8" width="9.0"/>
    <col customWidth="1" min="9" max="9" width="13.0"/>
    <col customWidth="1" min="10" max="10" width="8.0"/>
    <col customWidth="1" min="11" max="11" width="10.0"/>
    <col customWidth="1" min="12" max="12" width="2.0"/>
    <col customWidth="1" min="13" max="14" width="10.0"/>
    <col customWidth="1" min="15" max="15" width="22.0"/>
    <col customWidth="1" min="16" max="17" width="9.0"/>
    <col customWidth="1" min="18" max="18" width="2.0"/>
    <col customWidth="1" min="19" max="20" width="10.0"/>
    <col customWidth="1" min="21" max="21" width="22.0"/>
    <col customWidth="1" min="22" max="23" width="9.0"/>
    <col customWidth="1" min="24" max="26" width="8.71"/>
  </cols>
  <sheetData>
    <row r="1">
      <c r="A1" s="1" t="s">
        <v>0</v>
      </c>
    </row>
    <row r="2" ht="23.25" customHeight="1">
      <c r="A2" s="2" t="s">
        <v>1</v>
      </c>
    </row>
    <row r="4">
      <c r="A4" s="3" t="s">
        <v>2</v>
      </c>
      <c r="B4" s="4"/>
      <c r="C4" s="4"/>
      <c r="D4" s="4"/>
      <c r="E4" s="4"/>
      <c r="F4" s="4"/>
      <c r="G4" s="4"/>
      <c r="H4" s="4"/>
      <c r="I4" s="4"/>
      <c r="J4" s="5"/>
    </row>
    <row r="5" ht="27.75" customHeight="1">
      <c r="A5" s="2" t="s">
        <v>3</v>
      </c>
    </row>
    <row r="7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</row>
    <row r="8">
      <c r="A8" s="7" t="s">
        <v>10</v>
      </c>
      <c r="B8" s="7" t="s">
        <v>11</v>
      </c>
      <c r="C8" s="8">
        <v>0.3</v>
      </c>
      <c r="D8" s="7">
        <f>SUMPRODUCT(D31:D35,E31:E35)</f>
        <v>91.03848331</v>
      </c>
      <c r="E8" s="8">
        <v>64.0</v>
      </c>
      <c r="F8" s="7" t="str">
        <f t="shared" ref="F8:F13" si="1">IF(E8&gt;=90,"Excellent",IF(E8&gt;=70,"Good",IF(E8&gt;=50,"Needs Improvement","Poor")))</f>
        <v>Needs Improvement</v>
      </c>
    </row>
    <row r="9">
      <c r="A9" s="7" t="s">
        <v>12</v>
      </c>
      <c r="B9" s="7" t="s">
        <v>13</v>
      </c>
      <c r="C9" s="8">
        <v>0.2</v>
      </c>
      <c r="D9" s="7">
        <f>SUMPRODUCT(J31:J36,K31:K36)</f>
        <v>98.16666667</v>
      </c>
      <c r="E9" s="8">
        <v>97.0</v>
      </c>
      <c r="F9" s="7" t="str">
        <f t="shared" si="1"/>
        <v>Excellent</v>
      </c>
    </row>
    <row r="10">
      <c r="A10" s="7" t="s">
        <v>14</v>
      </c>
      <c r="B10" s="7" t="s">
        <v>15</v>
      </c>
      <c r="C10" s="8">
        <v>0.2</v>
      </c>
      <c r="D10" s="7">
        <f>SUMPRODUCT(P31:P36,Q31:Q36)</f>
        <v>100</v>
      </c>
      <c r="E10" s="8">
        <v>100.0</v>
      </c>
      <c r="F10" s="7" t="str">
        <f t="shared" si="1"/>
        <v>Excellent</v>
      </c>
    </row>
    <row r="11">
      <c r="A11" s="7" t="s">
        <v>16</v>
      </c>
      <c r="B11" s="7" t="s">
        <v>17</v>
      </c>
      <c r="C11" s="8">
        <v>0.2</v>
      </c>
      <c r="D11" s="7">
        <f>SUMPRODUCT(V31:V36,W31:W36)</f>
        <v>100</v>
      </c>
      <c r="E11" s="8">
        <v>100.0</v>
      </c>
      <c r="F11" s="7" t="str">
        <f t="shared" si="1"/>
        <v>Excellent</v>
      </c>
    </row>
    <row r="12">
      <c r="A12" s="7" t="s">
        <v>18</v>
      </c>
      <c r="B12" s="7" t="s">
        <v>19</v>
      </c>
      <c r="C12" s="8">
        <v>0.1</v>
      </c>
      <c r="E12" s="8">
        <v>100.0</v>
      </c>
      <c r="F12" s="7" t="str">
        <f t="shared" si="1"/>
        <v>Excellent</v>
      </c>
    </row>
    <row r="13">
      <c r="A13" s="7" t="s">
        <v>20</v>
      </c>
      <c r="B13" s="7" t="s">
        <v>21</v>
      </c>
      <c r="C13" s="8">
        <v>1.0</v>
      </c>
      <c r="E13" s="7">
        <f>SUMPRODUCT(C8:C12,E8:E12)</f>
        <v>88.6</v>
      </c>
      <c r="F13" s="7" t="str">
        <f t="shared" si="1"/>
        <v>Good</v>
      </c>
    </row>
    <row r="14" ht="25.5" customHeight="1">
      <c r="A14" s="2" t="s">
        <v>22</v>
      </c>
    </row>
    <row r="15">
      <c r="K15" s="9" t="s">
        <v>23</v>
      </c>
    </row>
    <row r="16">
      <c r="A16" s="3" t="s">
        <v>24</v>
      </c>
      <c r="B16" s="4"/>
      <c r="C16" s="4"/>
      <c r="D16" s="4"/>
      <c r="E16" s="4"/>
      <c r="F16" s="4"/>
      <c r="G16" s="4"/>
      <c r="H16" s="4"/>
      <c r="I16" s="4"/>
      <c r="J16" s="5"/>
    </row>
    <row r="18">
      <c r="A18" s="6" t="s">
        <v>25</v>
      </c>
      <c r="B18" s="6" t="s">
        <v>26</v>
      </c>
      <c r="C18" s="6" t="s">
        <v>9</v>
      </c>
    </row>
    <row r="19">
      <c r="A19" s="8" t="s">
        <v>27</v>
      </c>
      <c r="B19" s="8" t="s">
        <v>28</v>
      </c>
      <c r="C19" s="7" t="s">
        <v>29</v>
      </c>
    </row>
    <row r="20">
      <c r="A20" s="8" t="s">
        <v>30</v>
      </c>
      <c r="B20" s="8" t="s">
        <v>31</v>
      </c>
      <c r="C20" s="7" t="s">
        <v>32</v>
      </c>
    </row>
    <row r="21" ht="15.75" customHeight="1">
      <c r="A21" s="8" t="s">
        <v>33</v>
      </c>
      <c r="B21" s="8" t="s">
        <v>34</v>
      </c>
      <c r="C21" s="7" t="s">
        <v>29</v>
      </c>
    </row>
    <row r="22" ht="15.75" customHeight="1">
      <c r="A22" s="8" t="s">
        <v>35</v>
      </c>
      <c r="B22" s="8" t="s">
        <v>36</v>
      </c>
      <c r="C22" s="7" t="s">
        <v>32</v>
      </c>
    </row>
    <row r="23" ht="15.75" customHeight="1">
      <c r="A23" s="8" t="s">
        <v>37</v>
      </c>
      <c r="B23" s="8" t="s">
        <v>38</v>
      </c>
      <c r="C23" s="7" t="s">
        <v>32</v>
      </c>
    </row>
    <row r="24" ht="15.75" customHeight="1"/>
    <row r="25" ht="15.75" customHeight="1"/>
    <row r="26" ht="15.75" customHeight="1">
      <c r="A26" s="3" t="s">
        <v>39</v>
      </c>
      <c r="B26" s="4"/>
      <c r="C26" s="4"/>
      <c r="D26" s="4"/>
      <c r="E26" s="4"/>
      <c r="F26" s="4"/>
      <c r="G26" s="4"/>
      <c r="H26" s="4"/>
      <c r="I26" s="4"/>
      <c r="J26" s="5"/>
    </row>
    <row r="27" ht="39.75" customHeight="1">
      <c r="A27" s="2" t="s">
        <v>40</v>
      </c>
    </row>
    <row r="28" ht="15.75" customHeight="1"/>
    <row r="29" ht="15.75" customHeight="1">
      <c r="A29" s="10" t="s">
        <v>41</v>
      </c>
      <c r="B29" s="4"/>
      <c r="C29" s="4"/>
      <c r="D29" s="4"/>
      <c r="E29" s="5"/>
      <c r="G29" s="10" t="s">
        <v>42</v>
      </c>
      <c r="H29" s="4"/>
      <c r="I29" s="4"/>
      <c r="J29" s="4"/>
      <c r="K29" s="5"/>
      <c r="M29" s="10" t="s">
        <v>43</v>
      </c>
      <c r="N29" s="4"/>
      <c r="O29" s="4"/>
      <c r="P29" s="4"/>
      <c r="Q29" s="5"/>
      <c r="S29" s="10" t="s">
        <v>44</v>
      </c>
      <c r="T29" s="4"/>
      <c r="U29" s="4"/>
      <c r="V29" s="4"/>
      <c r="W29" s="5"/>
    </row>
    <row r="30" ht="15.75" customHeight="1">
      <c r="A30" s="6" t="s">
        <v>45</v>
      </c>
      <c r="B30" s="6" t="s">
        <v>4</v>
      </c>
      <c r="C30" s="6" t="s">
        <v>46</v>
      </c>
      <c r="D30" s="6" t="s">
        <v>6</v>
      </c>
      <c r="E30" s="6" t="s">
        <v>47</v>
      </c>
      <c r="G30" s="6" t="s">
        <v>45</v>
      </c>
      <c r="H30" s="6" t="s">
        <v>4</v>
      </c>
      <c r="I30" s="6" t="s">
        <v>46</v>
      </c>
      <c r="J30" s="6" t="s">
        <v>6</v>
      </c>
      <c r="K30" s="6" t="s">
        <v>47</v>
      </c>
      <c r="M30" s="6" t="s">
        <v>45</v>
      </c>
      <c r="N30" s="6" t="s">
        <v>4</v>
      </c>
      <c r="O30" s="6" t="s">
        <v>46</v>
      </c>
      <c r="P30" s="6" t="s">
        <v>6</v>
      </c>
      <c r="Q30" s="6" t="s">
        <v>47</v>
      </c>
      <c r="S30" s="6" t="s">
        <v>45</v>
      </c>
      <c r="T30" s="6" t="s">
        <v>4</v>
      </c>
      <c r="U30" s="6" t="s">
        <v>46</v>
      </c>
      <c r="V30" s="6" t="s">
        <v>6</v>
      </c>
      <c r="W30" s="6" t="s">
        <v>47</v>
      </c>
    </row>
    <row r="31" ht="15.75" customHeight="1">
      <c r="A31" s="7" t="s">
        <v>48</v>
      </c>
      <c r="B31" s="7" t="s">
        <v>10</v>
      </c>
      <c r="C31" s="7" t="s">
        <v>27</v>
      </c>
      <c r="D31" s="8">
        <v>0.3</v>
      </c>
      <c r="E31" s="7">
        <f>IFERROR(AVERAGEIF($B$44,A31,$H$44),"")</f>
        <v>100</v>
      </c>
      <c r="G31" s="7" t="s">
        <v>49</v>
      </c>
      <c r="H31" s="7" t="s">
        <v>12</v>
      </c>
      <c r="I31" s="7" t="s">
        <v>50</v>
      </c>
      <c r="J31" s="8">
        <v>0.2</v>
      </c>
      <c r="K31" s="7">
        <f>IFERROR(AVERAGEIF($B$64:$B$66,G31,$H$64:$H$66),"")</f>
        <v>96.66666667</v>
      </c>
      <c r="M31" s="7" t="s">
        <v>51</v>
      </c>
      <c r="N31" s="7" t="s">
        <v>14</v>
      </c>
      <c r="O31" s="7" t="s">
        <v>52</v>
      </c>
      <c r="P31" s="8">
        <v>0.25</v>
      </c>
      <c r="Q31" s="7">
        <f>IFERROR(AVERAGEIF($B$100:$B$102,M31,$H$100:$H$102),"")</f>
        <v>100</v>
      </c>
      <c r="S31" s="7" t="s">
        <v>53</v>
      </c>
      <c r="T31" s="7" t="s">
        <v>16</v>
      </c>
      <c r="U31" s="7" t="s">
        <v>54</v>
      </c>
      <c r="V31" s="8">
        <v>0.25</v>
      </c>
      <c r="W31" s="7">
        <f>IFERROR(AVERAGEIF($B$136:$B$138,S31,$H$136:$H$138),"")</f>
        <v>100</v>
      </c>
    </row>
    <row r="32" ht="15.75" customHeight="1">
      <c r="A32" s="7" t="s">
        <v>55</v>
      </c>
      <c r="B32" s="7" t="s">
        <v>10</v>
      </c>
      <c r="C32" s="7" t="s">
        <v>30</v>
      </c>
      <c r="D32" s="8">
        <v>0.25</v>
      </c>
      <c r="E32" s="7">
        <f>IFERROR(AVERAGEIF($B$48,A32,$H$48),"")</f>
        <v>80.64516129</v>
      </c>
      <c r="G32" s="7" t="s">
        <v>56</v>
      </c>
      <c r="H32" s="7" t="s">
        <v>12</v>
      </c>
      <c r="I32" s="7" t="s">
        <v>57</v>
      </c>
      <c r="J32" s="8">
        <v>0.2</v>
      </c>
      <c r="K32" s="7">
        <f>IFERROR(AVERAGEIF($B$70:$B$72,G32,$H$70:$H$72),"")</f>
        <v>96.66666667</v>
      </c>
      <c r="M32" s="7" t="s">
        <v>58</v>
      </c>
      <c r="N32" s="7" t="s">
        <v>14</v>
      </c>
      <c r="O32" s="7" t="s">
        <v>59</v>
      </c>
      <c r="P32" s="8">
        <v>0.2</v>
      </c>
      <c r="Q32" s="7">
        <f>IFERROR(AVERAGEIF($B$106:$B$108,M32,$H$106:$H$108),"")</f>
        <v>100</v>
      </c>
      <c r="S32" s="7" t="s">
        <v>60</v>
      </c>
      <c r="T32" s="7" t="s">
        <v>16</v>
      </c>
      <c r="U32" s="7" t="s">
        <v>61</v>
      </c>
      <c r="V32" s="8">
        <v>0.2</v>
      </c>
      <c r="W32" s="7">
        <f>IFERROR(AVERAGEIF($B$142:$B$144,S32,$H$142:$H$144),"")</f>
        <v>100</v>
      </c>
    </row>
    <row r="33" ht="15.75" customHeight="1">
      <c r="A33" s="7" t="s">
        <v>62</v>
      </c>
      <c r="B33" s="7" t="s">
        <v>10</v>
      </c>
      <c r="C33" s="7" t="s">
        <v>33</v>
      </c>
      <c r="D33" s="8">
        <v>0.2</v>
      </c>
      <c r="E33" s="7">
        <f>IFERROR(AVERAGEIF($B$52,A33,$H$52),"")</f>
        <v>100</v>
      </c>
      <c r="G33" s="7" t="s">
        <v>63</v>
      </c>
      <c r="H33" s="7" t="s">
        <v>12</v>
      </c>
      <c r="I33" s="7" t="s">
        <v>64</v>
      </c>
      <c r="J33" s="8">
        <v>0.15</v>
      </c>
      <c r="K33" s="7">
        <f>IFERROR(AVERAGEIF($B$76:$B$78,G33,$H$76:$H$78),"")</f>
        <v>100</v>
      </c>
      <c r="M33" s="7" t="s">
        <v>65</v>
      </c>
      <c r="N33" s="7" t="s">
        <v>14</v>
      </c>
      <c r="O33" s="7" t="s">
        <v>66</v>
      </c>
      <c r="P33" s="8">
        <v>0.15</v>
      </c>
      <c r="Q33" s="7">
        <f>IFERROR(AVERAGEIF($B$112:$B$114,M33,$H$112:$H$114),"")</f>
        <v>100</v>
      </c>
      <c r="S33" s="7" t="s">
        <v>67</v>
      </c>
      <c r="T33" s="7" t="s">
        <v>16</v>
      </c>
      <c r="U33" s="7" t="s">
        <v>68</v>
      </c>
      <c r="V33" s="8">
        <v>0.2</v>
      </c>
      <c r="W33" s="7">
        <f>IFERROR(AVERAGEIF($B$148:$B$150,S33,$H$148:$H$150),"")</f>
        <v>100</v>
      </c>
    </row>
    <row r="34" ht="15.75" customHeight="1">
      <c r="A34" s="7" t="s">
        <v>69</v>
      </c>
      <c r="B34" s="7" t="s">
        <v>10</v>
      </c>
      <c r="C34" s="7" t="s">
        <v>35</v>
      </c>
      <c r="D34" s="8">
        <v>0.15</v>
      </c>
      <c r="E34" s="7">
        <f>IFERROR(AVERAGEIF($B$56,A34,$H$56),"")</f>
        <v>94.73684211</v>
      </c>
      <c r="G34" s="7" t="s">
        <v>70</v>
      </c>
      <c r="H34" s="7" t="s">
        <v>12</v>
      </c>
      <c r="I34" s="7" t="s">
        <v>71</v>
      </c>
      <c r="J34" s="8">
        <v>0.15</v>
      </c>
      <c r="K34" s="7">
        <f>IFERROR(AVERAGEIF($B$82:$B$84,G34,$H$82:$H$84),"")</f>
        <v>100</v>
      </c>
      <c r="M34" s="7" t="s">
        <v>72</v>
      </c>
      <c r="N34" s="7" t="s">
        <v>14</v>
      </c>
      <c r="O34" s="7" t="s">
        <v>73</v>
      </c>
      <c r="P34" s="8">
        <v>0.15</v>
      </c>
      <c r="Q34" s="7">
        <f>IFERROR(AVERAGEIF($B$118:$B$120,M34,$H$118:$H$120),"")</f>
        <v>100</v>
      </c>
      <c r="S34" s="7" t="s">
        <v>74</v>
      </c>
      <c r="T34" s="7" t="s">
        <v>16</v>
      </c>
      <c r="U34" s="7" t="s">
        <v>75</v>
      </c>
      <c r="V34" s="8">
        <v>0.15</v>
      </c>
      <c r="W34" s="7">
        <f>IFERROR(AVERAGEIF($B$154:$B$156,S34,$H$154:$H$156),"")</f>
        <v>100</v>
      </c>
    </row>
    <row r="35" ht="15.75" customHeight="1">
      <c r="A35" s="7" t="s">
        <v>76</v>
      </c>
      <c r="B35" s="7" t="s">
        <v>10</v>
      </c>
      <c r="C35" s="7" t="s">
        <v>37</v>
      </c>
      <c r="D35" s="8">
        <v>0.1</v>
      </c>
      <c r="E35" s="7">
        <f>IFERROR(AVERAGEIF($B$60,A35,$H$60),"")</f>
        <v>66.66666667</v>
      </c>
      <c r="G35" s="7" t="s">
        <v>77</v>
      </c>
      <c r="H35" s="7" t="s">
        <v>12</v>
      </c>
      <c r="I35" s="7" t="s">
        <v>78</v>
      </c>
      <c r="J35" s="8">
        <v>0.15</v>
      </c>
      <c r="K35" s="7">
        <f>IFERROR(AVERAGEIF($B$88:$B$90,G35,$H$88:$H$90),"")</f>
        <v>96.66666667</v>
      </c>
      <c r="M35" s="7" t="s">
        <v>79</v>
      </c>
      <c r="N35" s="7" t="s">
        <v>14</v>
      </c>
      <c r="O35" s="7" t="s">
        <v>80</v>
      </c>
      <c r="P35" s="8">
        <v>0.15</v>
      </c>
      <c r="Q35" s="7">
        <f>IFERROR(AVERAGEIF($B$124:$B$126,M35,$H$124:$H$126),"")</f>
        <v>100</v>
      </c>
      <c r="S35" s="7" t="s">
        <v>81</v>
      </c>
      <c r="T35" s="7" t="s">
        <v>16</v>
      </c>
      <c r="U35" s="7" t="s">
        <v>82</v>
      </c>
      <c r="V35" s="8">
        <v>0.1</v>
      </c>
      <c r="W35" s="7">
        <f>IFERROR(AVERAGEIF($B$160:$B$162,S35,$H$160:$H$162),"")</f>
        <v>100</v>
      </c>
    </row>
    <row r="36" ht="15.75" customHeight="1">
      <c r="G36" s="7" t="s">
        <v>83</v>
      </c>
      <c r="H36" s="7" t="s">
        <v>12</v>
      </c>
      <c r="I36" s="7" t="s">
        <v>68</v>
      </c>
      <c r="J36" s="8">
        <v>0.15</v>
      </c>
      <c r="K36" s="7">
        <f>IFERROR(AVERAGEIF($B$94:$B$96,G36,$H$94:$H$96),"")</f>
        <v>100</v>
      </c>
      <c r="M36" s="7" t="s">
        <v>84</v>
      </c>
      <c r="N36" s="7" t="s">
        <v>14</v>
      </c>
      <c r="O36" s="7" t="s">
        <v>85</v>
      </c>
      <c r="P36" s="8">
        <v>0.1</v>
      </c>
      <c r="Q36" s="7">
        <f>IFERROR(AVERAGEIF($B$130:$B$132,M36,$H$130:$H$132),"")</f>
        <v>100</v>
      </c>
      <c r="S36" s="7" t="s">
        <v>86</v>
      </c>
      <c r="T36" s="7" t="s">
        <v>16</v>
      </c>
      <c r="U36" s="7" t="s">
        <v>87</v>
      </c>
      <c r="V36" s="8">
        <v>0.1</v>
      </c>
      <c r="W36" s="7">
        <f>IFERROR(AVERAGEIF($B$166:$B$168,S36,$H$166:$H$168),"")</f>
        <v>100</v>
      </c>
    </row>
    <row r="37" ht="15.75" customHeight="1"/>
    <row r="38" ht="15.75" customHeight="1"/>
    <row r="39" ht="15.75" customHeight="1">
      <c r="A39" s="3" t="s">
        <v>88</v>
      </c>
      <c r="B39" s="4"/>
      <c r="C39" s="4"/>
      <c r="D39" s="4"/>
      <c r="E39" s="4"/>
      <c r="F39" s="4"/>
      <c r="G39" s="4"/>
      <c r="H39" s="4"/>
      <c r="I39" s="4"/>
      <c r="J39" s="5"/>
    </row>
    <row r="40" ht="48.0" customHeight="1">
      <c r="A40" s="2" t="s">
        <v>89</v>
      </c>
    </row>
    <row r="41" ht="15.75" customHeight="1">
      <c r="A41" s="2" t="s">
        <v>89</v>
      </c>
    </row>
    <row r="42" ht="15.75" customHeight="1">
      <c r="A42" s="2" t="s">
        <v>89</v>
      </c>
    </row>
    <row r="43" ht="15.75" customHeight="1">
      <c r="A43" s="2" t="s">
        <v>89</v>
      </c>
    </row>
    <row r="44" ht="15.75" customHeight="1">
      <c r="A44" s="7" t="s">
        <v>90</v>
      </c>
      <c r="B44" s="7" t="s">
        <v>48</v>
      </c>
      <c r="C44" s="7" t="s">
        <v>91</v>
      </c>
      <c r="D44" s="8">
        <v>2.2</v>
      </c>
      <c r="E44" s="7" t="s">
        <v>92</v>
      </c>
      <c r="F44" s="7" t="s">
        <v>93</v>
      </c>
      <c r="G44" s="8">
        <v>2.5</v>
      </c>
      <c r="H44" s="7">
        <f>IF(F44="Lower",MAX(0,MIN(100,(G44/D44)*100)),IF(F44="Higher",MIN(100,(D44/G44)*100),IF(F44="Zero",MAX(0,100-(D44*10)),IF(F44="Boolean",IF(D44="Yes",100,0),IF(F44="BooleanInverse",IF(D44="No",100,0),"")))))</f>
        <v>100</v>
      </c>
      <c r="I44" s="7" t="s">
        <v>94</v>
      </c>
      <c r="J44" s="7" t="str">
        <f>IF(H44="","",IF(H44&lt;70,"Fix","OK"))</f>
        <v>OK</v>
      </c>
    </row>
    <row r="45" ht="15.75" customHeight="1"/>
    <row r="46" ht="15.75" customHeight="1">
      <c r="A46" s="11" t="s">
        <v>95</v>
      </c>
    </row>
    <row r="47" ht="15.75" customHeight="1">
      <c r="A47" s="6" t="s">
        <v>96</v>
      </c>
      <c r="B47" s="6" t="s">
        <v>45</v>
      </c>
      <c r="C47" s="6" t="s">
        <v>97</v>
      </c>
      <c r="D47" s="6" t="s">
        <v>98</v>
      </c>
      <c r="E47" s="6" t="s">
        <v>99</v>
      </c>
      <c r="F47" s="6" t="s">
        <v>100</v>
      </c>
      <c r="G47" s="6" t="s">
        <v>101</v>
      </c>
      <c r="H47" s="6" t="s">
        <v>47</v>
      </c>
      <c r="I47" s="6" t="s">
        <v>102</v>
      </c>
      <c r="J47" s="6" t="s">
        <v>103</v>
      </c>
    </row>
    <row r="48" ht="15.75" customHeight="1">
      <c r="A48" s="7" t="s">
        <v>104</v>
      </c>
      <c r="B48" s="7" t="s">
        <v>55</v>
      </c>
      <c r="C48" s="7" t="s">
        <v>105</v>
      </c>
      <c r="D48" s="8">
        <v>248.0</v>
      </c>
      <c r="E48" s="7" t="s">
        <v>106</v>
      </c>
      <c r="F48" s="7" t="s">
        <v>93</v>
      </c>
      <c r="G48" s="8">
        <v>200.0</v>
      </c>
      <c r="H48" s="7">
        <f>IF(F48="Lower",MAX(0,MIN(100,(G48/D48)*100)),IF(F48="Higher",MIN(100,(D48/G48)*100),IF(F48="Zero",MAX(0,100-(D48*10)),IF(F48="Boolean",IF(D48="Yes",100,0),IF(F48="BooleanInverse",IF(D48="No",100,0),"")))))</f>
        <v>80.64516129</v>
      </c>
      <c r="I48" s="7" t="s">
        <v>107</v>
      </c>
      <c r="J48" s="7" t="str">
        <f>IF(H48="","",IF(H48&lt;70,"Fix","OK"))</f>
        <v>OK</v>
      </c>
    </row>
    <row r="49" ht="15.75" customHeight="1"/>
    <row r="50" ht="15.75" customHeight="1">
      <c r="A50" s="11" t="s">
        <v>108</v>
      </c>
    </row>
    <row r="51" ht="15.75" customHeight="1">
      <c r="A51" s="6" t="s">
        <v>96</v>
      </c>
      <c r="B51" s="6" t="s">
        <v>45</v>
      </c>
      <c r="C51" s="6" t="s">
        <v>97</v>
      </c>
      <c r="D51" s="6" t="s">
        <v>98</v>
      </c>
      <c r="E51" s="6" t="s">
        <v>99</v>
      </c>
      <c r="F51" s="6" t="s">
        <v>100</v>
      </c>
      <c r="G51" s="6" t="s">
        <v>101</v>
      </c>
      <c r="H51" s="6" t="s">
        <v>47</v>
      </c>
      <c r="I51" s="6" t="s">
        <v>102</v>
      </c>
      <c r="J51" s="6" t="s">
        <v>103</v>
      </c>
    </row>
    <row r="52" ht="15.75" customHeight="1">
      <c r="A52" s="7" t="s">
        <v>109</v>
      </c>
      <c r="B52" s="7" t="s">
        <v>62</v>
      </c>
      <c r="C52" s="7" t="s">
        <v>110</v>
      </c>
      <c r="D52" s="8">
        <v>0.03</v>
      </c>
      <c r="E52" s="7" t="s">
        <v>111</v>
      </c>
      <c r="F52" s="7" t="s">
        <v>93</v>
      </c>
      <c r="G52" s="8">
        <v>0.1</v>
      </c>
      <c r="H52" s="7">
        <f>IF(F52="Lower",MAX(0,MIN(100,(G52/D52)*100)),IF(F52="Higher",MIN(100,(D52/G52)*100),IF(F52="Zero",MAX(0,100-(D52*10)),IF(F52="Boolean",IF(D52="Yes",100,0),IF(F52="BooleanInverse",IF(D52="No",100,0),"")))))</f>
        <v>100</v>
      </c>
      <c r="I52" s="7" t="s">
        <v>112</v>
      </c>
      <c r="J52" s="7" t="str">
        <f>IF(H52="","",IF(H52&lt;70,"Fix","OK"))</f>
        <v>OK</v>
      </c>
    </row>
    <row r="53" ht="15.75" customHeight="1"/>
    <row r="54" ht="15.75" customHeight="1">
      <c r="A54" s="11" t="s">
        <v>113</v>
      </c>
    </row>
    <row r="55" ht="15.75" customHeight="1">
      <c r="A55" s="6" t="s">
        <v>96</v>
      </c>
      <c r="B55" s="6" t="s">
        <v>45</v>
      </c>
      <c r="C55" s="6" t="s">
        <v>97</v>
      </c>
      <c r="D55" s="6" t="s">
        <v>98</v>
      </c>
      <c r="E55" s="6" t="s">
        <v>99</v>
      </c>
      <c r="F55" s="6" t="s">
        <v>100</v>
      </c>
      <c r="G55" s="6" t="s">
        <v>101</v>
      </c>
      <c r="H55" s="6" t="s">
        <v>47</v>
      </c>
      <c r="I55" s="6" t="s">
        <v>102</v>
      </c>
      <c r="J55" s="6" t="s">
        <v>103</v>
      </c>
    </row>
    <row r="56" ht="15.75" customHeight="1">
      <c r="A56" s="7" t="s">
        <v>114</v>
      </c>
      <c r="B56" s="7" t="s">
        <v>69</v>
      </c>
      <c r="C56" s="7" t="s">
        <v>115</v>
      </c>
      <c r="D56" s="8">
        <v>1.9</v>
      </c>
      <c r="E56" s="7" t="s">
        <v>92</v>
      </c>
      <c r="F56" s="7" t="s">
        <v>93</v>
      </c>
      <c r="G56" s="8">
        <v>1.8</v>
      </c>
      <c r="H56" s="7">
        <f>IF(F56="Lower",MAX(0,MIN(100,(G56/D56)*100)),IF(F56="Higher",MIN(100,(D56/G56)*100),IF(F56="Zero",MAX(0,100-(D56*10)),IF(F56="Boolean",IF(D56="Yes",100,0),IF(F56="BooleanInverse",IF(D56="No",100,0),"")))))</f>
        <v>94.73684211</v>
      </c>
      <c r="I56" s="7" t="s">
        <v>116</v>
      </c>
      <c r="J56" s="7" t="str">
        <f>IF(H56="","",IF(H56&lt;70,"Fix","OK"))</f>
        <v>OK</v>
      </c>
    </row>
    <row r="57" ht="15.75" customHeight="1"/>
    <row r="58" ht="15.75" customHeight="1">
      <c r="A58" s="11" t="s">
        <v>117</v>
      </c>
    </row>
    <row r="59" ht="15.75" customHeight="1">
      <c r="A59" s="6" t="s">
        <v>96</v>
      </c>
      <c r="B59" s="6" t="s">
        <v>45</v>
      </c>
      <c r="C59" s="6" t="s">
        <v>97</v>
      </c>
      <c r="D59" s="6" t="s">
        <v>98</v>
      </c>
      <c r="E59" s="6" t="s">
        <v>99</v>
      </c>
      <c r="F59" s="6" t="s">
        <v>100</v>
      </c>
      <c r="G59" s="6" t="s">
        <v>101</v>
      </c>
      <c r="H59" s="6" t="s">
        <v>47</v>
      </c>
      <c r="I59" s="6" t="s">
        <v>102</v>
      </c>
      <c r="J59" s="6" t="s">
        <v>103</v>
      </c>
    </row>
    <row r="60" ht="15.75" customHeight="1">
      <c r="A60" s="7" t="s">
        <v>118</v>
      </c>
      <c r="B60" s="7" t="s">
        <v>76</v>
      </c>
      <c r="C60" s="7" t="s">
        <v>119</v>
      </c>
      <c r="D60" s="8">
        <v>1.2</v>
      </c>
      <c r="E60" s="7" t="s">
        <v>92</v>
      </c>
      <c r="F60" s="7" t="s">
        <v>93</v>
      </c>
      <c r="G60" s="8">
        <v>0.8</v>
      </c>
      <c r="H60" s="7">
        <f>IF(F60="Lower",MAX(0,MIN(100,(G60/D60)*100)),IF(F60="Higher",MIN(100,(D60/G60)*100),IF(F60="Zero",MAX(0,100-(D60*10)),IF(F60="Boolean",IF(D60="Yes",100,0),IF(F60="BooleanInverse",IF(D60="No",100,0),"")))))</f>
        <v>66.66666667</v>
      </c>
      <c r="I60" s="7" t="s">
        <v>120</v>
      </c>
      <c r="J60" s="7" t="str">
        <f>IF(H60="","",IF(H60&lt;70,"Fix","OK"))</f>
        <v>Fix</v>
      </c>
    </row>
    <row r="61" ht="15.75" customHeight="1"/>
    <row r="62" ht="15.75" customHeight="1">
      <c r="A62" s="11" t="s">
        <v>121</v>
      </c>
    </row>
    <row r="63" ht="15.75" customHeight="1">
      <c r="A63" s="6" t="s">
        <v>96</v>
      </c>
      <c r="B63" s="6" t="s">
        <v>45</v>
      </c>
      <c r="C63" s="6" t="s">
        <v>97</v>
      </c>
      <c r="D63" s="6" t="s">
        <v>98</v>
      </c>
      <c r="E63" s="6" t="s">
        <v>99</v>
      </c>
      <c r="F63" s="6" t="s">
        <v>100</v>
      </c>
      <c r="G63" s="6" t="s">
        <v>101</v>
      </c>
      <c r="H63" s="6" t="s">
        <v>47</v>
      </c>
      <c r="I63" s="6" t="s">
        <v>102</v>
      </c>
      <c r="J63" s="6" t="s">
        <v>103</v>
      </c>
    </row>
    <row r="64" ht="15.75" customHeight="1">
      <c r="A64" s="7" t="s">
        <v>122</v>
      </c>
      <c r="B64" s="7" t="s">
        <v>49</v>
      </c>
      <c r="C64" s="7" t="s">
        <v>123</v>
      </c>
      <c r="D64" s="12">
        <v>4.6</v>
      </c>
      <c r="E64" s="7" t="s">
        <v>124</v>
      </c>
      <c r="F64" s="7" t="s">
        <v>125</v>
      </c>
      <c r="G64" s="12">
        <v>4.5</v>
      </c>
      <c r="H64" s="7">
        <f t="shared" ref="H64:H66" si="2">IF(F64="Lower",MAX(0,MIN(100,(G64/D64)*100)),IF(F64="Higher",MIN(100,(D64/G64)*100),IF(F64="Zero",MAX(0,100-(D64*10)),IF(F64="Boolean",IF(D64="Yes",100,0),IF(F64="BooleanInverse",IF(D64="No",100,0),"")))))</f>
        <v>100</v>
      </c>
      <c r="I64" s="7" t="s">
        <v>126</v>
      </c>
      <c r="J64" s="7" t="str">
        <f t="shared" ref="J64:J66" si="3">IF(H64="","",IF(H64&lt;70,"Fix","OK"))</f>
        <v>OK</v>
      </c>
    </row>
    <row r="65" ht="15.75" customHeight="1">
      <c r="A65" s="7" t="s">
        <v>127</v>
      </c>
      <c r="B65" s="7" t="s">
        <v>49</v>
      </c>
      <c r="C65" s="7" t="s">
        <v>128</v>
      </c>
      <c r="D65" s="12">
        <v>1.0</v>
      </c>
      <c r="E65" s="7" t="s">
        <v>129</v>
      </c>
      <c r="F65" s="7" t="s">
        <v>130</v>
      </c>
      <c r="G65" s="12">
        <v>0.0</v>
      </c>
      <c r="H65" s="7">
        <f t="shared" si="2"/>
        <v>90</v>
      </c>
      <c r="I65" s="7" t="s">
        <v>131</v>
      </c>
      <c r="J65" s="7" t="str">
        <f t="shared" si="3"/>
        <v>OK</v>
      </c>
    </row>
    <row r="66" ht="15.75" customHeight="1">
      <c r="A66" s="7" t="s">
        <v>132</v>
      </c>
      <c r="B66" s="7" t="s">
        <v>49</v>
      </c>
      <c r="C66" s="7" t="s">
        <v>133</v>
      </c>
      <c r="D66" s="12">
        <v>0.0</v>
      </c>
      <c r="E66" s="7" t="s">
        <v>129</v>
      </c>
      <c r="F66" s="7" t="s">
        <v>130</v>
      </c>
      <c r="G66" s="12">
        <v>0.0</v>
      </c>
      <c r="H66" s="7">
        <f t="shared" si="2"/>
        <v>100</v>
      </c>
      <c r="I66" s="7" t="s">
        <v>131</v>
      </c>
      <c r="J66" s="7" t="str">
        <f t="shared" si="3"/>
        <v>OK</v>
      </c>
    </row>
    <row r="67" ht="15.75" customHeight="1"/>
    <row r="68" ht="15.75" customHeight="1">
      <c r="A68" s="11" t="s">
        <v>134</v>
      </c>
    </row>
    <row r="69" ht="15.75" customHeight="1">
      <c r="A69" s="6" t="s">
        <v>96</v>
      </c>
      <c r="B69" s="6" t="s">
        <v>45</v>
      </c>
      <c r="C69" s="6" t="s">
        <v>97</v>
      </c>
      <c r="D69" s="6" t="s">
        <v>98</v>
      </c>
      <c r="E69" s="6" t="s">
        <v>99</v>
      </c>
      <c r="F69" s="6" t="s">
        <v>100</v>
      </c>
      <c r="G69" s="6" t="s">
        <v>101</v>
      </c>
      <c r="H69" s="6" t="s">
        <v>47</v>
      </c>
      <c r="I69" s="6" t="s">
        <v>102</v>
      </c>
      <c r="J69" s="6" t="s">
        <v>103</v>
      </c>
    </row>
    <row r="70" ht="15.75" customHeight="1">
      <c r="A70" s="7" t="s">
        <v>135</v>
      </c>
      <c r="B70" s="7" t="s">
        <v>56</v>
      </c>
      <c r="C70" s="7" t="s">
        <v>136</v>
      </c>
      <c r="D70" s="12">
        <v>0.0</v>
      </c>
      <c r="E70" s="7" t="s">
        <v>129</v>
      </c>
      <c r="F70" s="7" t="s">
        <v>130</v>
      </c>
      <c r="G70" s="12">
        <v>0.0</v>
      </c>
      <c r="H70" s="7">
        <f t="shared" ref="H70:H72" si="4">IF(F70="Lower",MAX(0,MIN(100,(G70/D70)*100)),IF(F70="Higher",MIN(100,(D70/G70)*100),IF(F70="Zero",MAX(0,100-(D70*10)),IF(F70="Boolean",IF(D70="Yes",100,0),IF(F70="BooleanInverse",IF(D70="No",100,0),"")))))</f>
        <v>100</v>
      </c>
      <c r="I70" s="7" t="s">
        <v>131</v>
      </c>
      <c r="J70" s="7" t="str">
        <f t="shared" ref="J70:J72" si="5">IF(H70="","",IF(H70&lt;70,"Fix","OK"))</f>
        <v>OK</v>
      </c>
    </row>
    <row r="71" ht="15.75" customHeight="1">
      <c r="A71" s="7" t="s">
        <v>137</v>
      </c>
      <c r="B71" s="7" t="s">
        <v>56</v>
      </c>
      <c r="C71" s="7" t="s">
        <v>138</v>
      </c>
      <c r="D71" s="12">
        <v>1.0</v>
      </c>
      <c r="E71" s="7" t="s">
        <v>129</v>
      </c>
      <c r="F71" s="7" t="s">
        <v>130</v>
      </c>
      <c r="G71" s="12">
        <v>0.0</v>
      </c>
      <c r="H71" s="7">
        <f t="shared" si="4"/>
        <v>90</v>
      </c>
      <c r="I71" s="7" t="s">
        <v>131</v>
      </c>
      <c r="J71" s="7" t="str">
        <f t="shared" si="5"/>
        <v>OK</v>
      </c>
    </row>
    <row r="72" ht="15.75" customHeight="1">
      <c r="A72" s="7" t="s">
        <v>139</v>
      </c>
      <c r="B72" s="7" t="s">
        <v>56</v>
      </c>
      <c r="C72" s="7" t="s">
        <v>140</v>
      </c>
      <c r="D72" s="12">
        <v>0.0</v>
      </c>
      <c r="E72" s="7" t="s">
        <v>129</v>
      </c>
      <c r="F72" s="7" t="s">
        <v>130</v>
      </c>
      <c r="G72" s="12">
        <v>0.0</v>
      </c>
      <c r="H72" s="7">
        <f t="shared" si="4"/>
        <v>100</v>
      </c>
      <c r="I72" s="7" t="s">
        <v>131</v>
      </c>
      <c r="J72" s="7" t="str">
        <f t="shared" si="5"/>
        <v>OK</v>
      </c>
    </row>
    <row r="73" ht="15.75" customHeight="1"/>
    <row r="74" ht="15.75" customHeight="1">
      <c r="A74" s="11" t="s">
        <v>141</v>
      </c>
    </row>
    <row r="75" ht="15.75" customHeight="1">
      <c r="A75" s="6" t="s">
        <v>96</v>
      </c>
      <c r="B75" s="6" t="s">
        <v>45</v>
      </c>
      <c r="C75" s="6" t="s">
        <v>97</v>
      </c>
      <c r="D75" s="6" t="s">
        <v>98</v>
      </c>
      <c r="E75" s="6" t="s">
        <v>99</v>
      </c>
      <c r="F75" s="6" t="s">
        <v>100</v>
      </c>
      <c r="G75" s="6" t="s">
        <v>101</v>
      </c>
      <c r="H75" s="6" t="s">
        <v>47</v>
      </c>
      <c r="I75" s="6" t="s">
        <v>102</v>
      </c>
      <c r="J75" s="6" t="s">
        <v>103</v>
      </c>
    </row>
    <row r="76" ht="15.75" customHeight="1">
      <c r="A76" s="7" t="s">
        <v>142</v>
      </c>
      <c r="B76" s="7" t="s">
        <v>63</v>
      </c>
      <c r="C76" s="7" t="s">
        <v>143</v>
      </c>
      <c r="D76" s="12">
        <v>0.0</v>
      </c>
      <c r="E76" s="7" t="s">
        <v>129</v>
      </c>
      <c r="F76" s="7" t="s">
        <v>130</v>
      </c>
      <c r="G76" s="12">
        <v>0.0</v>
      </c>
      <c r="H76" s="7">
        <f t="shared" ref="H76:H78" si="6">IF(F76="Lower",MAX(0,MIN(100,(G76/D76)*100)),IF(F76="Higher",MIN(100,(D76/G76)*100),IF(F76="Zero",MAX(0,100-(D76*10)),IF(F76="Boolean",IF(D76="Yes",100,0),IF(F76="BooleanInverse",IF(D76="No",100,0),"")))))</f>
        <v>100</v>
      </c>
      <c r="I76" s="7" t="s">
        <v>131</v>
      </c>
      <c r="J76" s="7" t="str">
        <f t="shared" ref="J76:J78" si="7">IF(H76="","",IF(H76&lt;70,"Fix","OK"))</f>
        <v>OK</v>
      </c>
    </row>
    <row r="77" ht="15.75" customHeight="1">
      <c r="A77" s="7" t="s">
        <v>144</v>
      </c>
      <c r="B77" s="7" t="s">
        <v>63</v>
      </c>
      <c r="C77" s="7" t="s">
        <v>145</v>
      </c>
      <c r="D77" s="12">
        <v>0.0</v>
      </c>
      <c r="E77" s="7" t="s">
        <v>129</v>
      </c>
      <c r="F77" s="7" t="s">
        <v>130</v>
      </c>
      <c r="G77" s="12">
        <v>0.0</v>
      </c>
      <c r="H77" s="7">
        <f t="shared" si="6"/>
        <v>100</v>
      </c>
      <c r="I77" s="7" t="s">
        <v>131</v>
      </c>
      <c r="J77" s="7" t="str">
        <f t="shared" si="7"/>
        <v>OK</v>
      </c>
    </row>
    <row r="78" ht="15.75" customHeight="1">
      <c r="A78" s="7" t="s">
        <v>146</v>
      </c>
      <c r="B78" s="7" t="s">
        <v>63</v>
      </c>
      <c r="C78" s="7" t="s">
        <v>147</v>
      </c>
      <c r="D78" s="12">
        <v>0.0</v>
      </c>
      <c r="E78" s="7" t="s">
        <v>129</v>
      </c>
      <c r="F78" s="7" t="s">
        <v>130</v>
      </c>
      <c r="G78" s="12">
        <v>0.0</v>
      </c>
      <c r="H78" s="7">
        <f t="shared" si="6"/>
        <v>100</v>
      </c>
      <c r="I78" s="7" t="s">
        <v>131</v>
      </c>
      <c r="J78" s="7" t="str">
        <f t="shared" si="7"/>
        <v>OK</v>
      </c>
    </row>
    <row r="79" ht="15.75" customHeight="1"/>
    <row r="80" ht="15.75" customHeight="1">
      <c r="A80" s="11" t="s">
        <v>148</v>
      </c>
    </row>
    <row r="81" ht="15.75" customHeight="1">
      <c r="A81" s="6" t="s">
        <v>96</v>
      </c>
      <c r="B81" s="6" t="s">
        <v>45</v>
      </c>
      <c r="C81" s="6" t="s">
        <v>97</v>
      </c>
      <c r="D81" s="6" t="s">
        <v>98</v>
      </c>
      <c r="E81" s="6" t="s">
        <v>99</v>
      </c>
      <c r="F81" s="6" t="s">
        <v>100</v>
      </c>
      <c r="G81" s="6" t="s">
        <v>101</v>
      </c>
      <c r="H81" s="6" t="s">
        <v>47</v>
      </c>
      <c r="I81" s="6" t="s">
        <v>102</v>
      </c>
      <c r="J81" s="6" t="s">
        <v>103</v>
      </c>
    </row>
    <row r="82" ht="15.75" customHeight="1">
      <c r="A82" s="7" t="s">
        <v>149</v>
      </c>
      <c r="B82" s="7" t="s">
        <v>70</v>
      </c>
      <c r="C82" s="7" t="s">
        <v>150</v>
      </c>
      <c r="D82" s="12">
        <v>0.0</v>
      </c>
      <c r="E82" s="7" t="s">
        <v>129</v>
      </c>
      <c r="F82" s="7" t="s">
        <v>130</v>
      </c>
      <c r="G82" s="12">
        <v>0.0</v>
      </c>
      <c r="H82" s="7">
        <f t="shared" ref="H82:H84" si="8">IF(F82="Lower",MAX(0,MIN(100,(G82/D82)*100)),IF(F82="Higher",MIN(100,(D82/G82)*100),IF(F82="Zero",MAX(0,100-(D82*10)),IF(F82="Boolean",IF(D82="Yes",100,0),IF(F82="BooleanInverse",IF(D82="No",100,0),"")))))</f>
        <v>100</v>
      </c>
      <c r="I82" s="7" t="s">
        <v>131</v>
      </c>
      <c r="J82" s="7" t="str">
        <f t="shared" ref="J82:J84" si="9">IF(H82="","",IF(H82&lt;70,"Fix","OK"))</f>
        <v>OK</v>
      </c>
    </row>
    <row r="83" ht="15.75" customHeight="1">
      <c r="A83" s="7" t="s">
        <v>151</v>
      </c>
      <c r="B83" s="7" t="s">
        <v>70</v>
      </c>
      <c r="C83" s="7" t="s">
        <v>152</v>
      </c>
      <c r="D83" s="12">
        <v>0.0</v>
      </c>
      <c r="E83" s="7" t="s">
        <v>129</v>
      </c>
      <c r="F83" s="7" t="s">
        <v>130</v>
      </c>
      <c r="G83" s="12">
        <v>0.0</v>
      </c>
      <c r="H83" s="7">
        <f t="shared" si="8"/>
        <v>100</v>
      </c>
      <c r="I83" s="7" t="s">
        <v>131</v>
      </c>
      <c r="J83" s="7" t="str">
        <f t="shared" si="9"/>
        <v>OK</v>
      </c>
    </row>
    <row r="84" ht="15.75" customHeight="1">
      <c r="A84" s="7" t="s">
        <v>153</v>
      </c>
      <c r="B84" s="7" t="s">
        <v>70</v>
      </c>
      <c r="C84" s="7" t="s">
        <v>154</v>
      </c>
      <c r="D84" s="12">
        <v>0.0</v>
      </c>
      <c r="E84" s="7" t="s">
        <v>129</v>
      </c>
      <c r="F84" s="7" t="s">
        <v>130</v>
      </c>
      <c r="G84" s="12">
        <v>0.0</v>
      </c>
      <c r="H84" s="7">
        <f t="shared" si="8"/>
        <v>100</v>
      </c>
      <c r="I84" s="7" t="s">
        <v>131</v>
      </c>
      <c r="J84" s="7" t="str">
        <f t="shared" si="9"/>
        <v>OK</v>
      </c>
    </row>
    <row r="85" ht="15.75" customHeight="1"/>
    <row r="86" ht="15.75" customHeight="1">
      <c r="A86" s="11" t="s">
        <v>155</v>
      </c>
    </row>
    <row r="87" ht="15.75" customHeight="1">
      <c r="A87" s="6" t="s">
        <v>96</v>
      </c>
      <c r="B87" s="6" t="s">
        <v>45</v>
      </c>
      <c r="C87" s="6" t="s">
        <v>97</v>
      </c>
      <c r="D87" s="6" t="s">
        <v>98</v>
      </c>
      <c r="E87" s="6" t="s">
        <v>99</v>
      </c>
      <c r="F87" s="6" t="s">
        <v>100</v>
      </c>
      <c r="G87" s="6" t="s">
        <v>101</v>
      </c>
      <c r="H87" s="6" t="s">
        <v>47</v>
      </c>
      <c r="I87" s="6" t="s">
        <v>102</v>
      </c>
      <c r="J87" s="6" t="s">
        <v>103</v>
      </c>
    </row>
    <row r="88" ht="15.75" customHeight="1">
      <c r="A88" s="7" t="s">
        <v>156</v>
      </c>
      <c r="B88" s="7" t="s">
        <v>77</v>
      </c>
      <c r="C88" s="7" t="s">
        <v>157</v>
      </c>
      <c r="D88" s="12">
        <v>0.0</v>
      </c>
      <c r="E88" s="7" t="s">
        <v>129</v>
      </c>
      <c r="F88" s="7" t="s">
        <v>130</v>
      </c>
      <c r="G88" s="12">
        <v>0.0</v>
      </c>
      <c r="H88" s="7">
        <f t="shared" ref="H88:H90" si="10">IF(F88="Lower",MAX(0,MIN(100,(G88/D88)*100)),IF(F88="Higher",MIN(100,(D88/G88)*100),IF(F88="Zero",MAX(0,100-(D88*10)),IF(F88="Boolean",IF(D88="Yes",100,0),IF(F88="BooleanInverse",IF(D88="No",100,0),"")))))</f>
        <v>100</v>
      </c>
      <c r="I88" s="7" t="s">
        <v>131</v>
      </c>
      <c r="J88" s="7" t="str">
        <f t="shared" ref="J88:J90" si="11">IF(H88="","",IF(H88&lt;70,"Fix","OK"))</f>
        <v>OK</v>
      </c>
    </row>
    <row r="89" ht="15.75" customHeight="1">
      <c r="A89" s="7" t="s">
        <v>158</v>
      </c>
      <c r="B89" s="7" t="s">
        <v>77</v>
      </c>
      <c r="C89" s="7" t="s">
        <v>159</v>
      </c>
      <c r="D89" s="12">
        <v>0.0</v>
      </c>
      <c r="E89" s="7" t="s">
        <v>129</v>
      </c>
      <c r="F89" s="7" t="s">
        <v>130</v>
      </c>
      <c r="G89" s="12">
        <v>0.0</v>
      </c>
      <c r="H89" s="7">
        <f t="shared" si="10"/>
        <v>100</v>
      </c>
      <c r="I89" s="7" t="s">
        <v>131</v>
      </c>
      <c r="J89" s="7" t="str">
        <f t="shared" si="11"/>
        <v>OK</v>
      </c>
    </row>
    <row r="90" ht="15.75" customHeight="1">
      <c r="A90" s="7" t="s">
        <v>160</v>
      </c>
      <c r="B90" s="7" t="s">
        <v>77</v>
      </c>
      <c r="C90" s="7" t="s">
        <v>161</v>
      </c>
      <c r="D90" s="12">
        <v>1.0</v>
      </c>
      <c r="E90" s="7" t="s">
        <v>129</v>
      </c>
      <c r="F90" s="7" t="s">
        <v>130</v>
      </c>
      <c r="G90" s="12">
        <v>0.0</v>
      </c>
      <c r="H90" s="7">
        <f t="shared" si="10"/>
        <v>90</v>
      </c>
      <c r="I90" s="7" t="s">
        <v>131</v>
      </c>
      <c r="J90" s="7" t="str">
        <f t="shared" si="11"/>
        <v>OK</v>
      </c>
    </row>
    <row r="91" ht="15.75" customHeight="1"/>
    <row r="92" ht="15.75" customHeight="1">
      <c r="A92" s="11" t="s">
        <v>162</v>
      </c>
    </row>
    <row r="93" ht="15.75" customHeight="1">
      <c r="A93" s="6" t="s">
        <v>96</v>
      </c>
      <c r="B93" s="6" t="s">
        <v>45</v>
      </c>
      <c r="C93" s="6" t="s">
        <v>97</v>
      </c>
      <c r="D93" s="6" t="s">
        <v>98</v>
      </c>
      <c r="E93" s="6" t="s">
        <v>99</v>
      </c>
      <c r="F93" s="6" t="s">
        <v>100</v>
      </c>
      <c r="G93" s="6" t="s">
        <v>101</v>
      </c>
      <c r="H93" s="6" t="s">
        <v>47</v>
      </c>
      <c r="I93" s="6" t="s">
        <v>102</v>
      </c>
      <c r="J93" s="6" t="s">
        <v>103</v>
      </c>
    </row>
    <row r="94" ht="15.75" customHeight="1">
      <c r="A94" s="7" t="s">
        <v>163</v>
      </c>
      <c r="B94" s="7" t="s">
        <v>83</v>
      </c>
      <c r="C94" s="7" t="s">
        <v>164</v>
      </c>
      <c r="D94" s="12">
        <v>0.0</v>
      </c>
      <c r="E94" s="7" t="s">
        <v>129</v>
      </c>
      <c r="F94" s="7" t="s">
        <v>130</v>
      </c>
      <c r="G94" s="12">
        <v>0.0</v>
      </c>
      <c r="H94" s="7">
        <f t="shared" ref="H94:H96" si="12">IF(F94="Lower",MAX(0,MIN(100,(G94/D94)*100)),IF(F94="Higher",MIN(100,(D94/G94)*100),IF(F94="Zero",MAX(0,100-(D94*10)),IF(F94="Boolean",IF(D94="Yes",100,0),IF(F94="BooleanInverse",IF(D94="No",100,0),"")))))</f>
        <v>100</v>
      </c>
      <c r="I94" s="7" t="s">
        <v>131</v>
      </c>
      <c r="J94" s="7" t="str">
        <f t="shared" ref="J94:J96" si="13">IF(H94="","",IF(H94&lt;70,"Fix","OK"))</f>
        <v>OK</v>
      </c>
    </row>
    <row r="95" ht="15.75" customHeight="1">
      <c r="A95" s="7" t="s">
        <v>165</v>
      </c>
      <c r="B95" s="7" t="s">
        <v>83</v>
      </c>
      <c r="C95" s="7" t="s">
        <v>166</v>
      </c>
      <c r="D95" s="12">
        <v>0.0</v>
      </c>
      <c r="E95" s="7" t="s">
        <v>129</v>
      </c>
      <c r="F95" s="7" t="s">
        <v>130</v>
      </c>
      <c r="G95" s="12">
        <v>0.0</v>
      </c>
      <c r="H95" s="7">
        <f t="shared" si="12"/>
        <v>100</v>
      </c>
      <c r="I95" s="7" t="s">
        <v>131</v>
      </c>
      <c r="J95" s="7" t="str">
        <f t="shared" si="13"/>
        <v>OK</v>
      </c>
    </row>
    <row r="96" ht="15.75" customHeight="1">
      <c r="A96" s="7" t="s">
        <v>167</v>
      </c>
      <c r="B96" s="7" t="s">
        <v>83</v>
      </c>
      <c r="C96" s="7" t="s">
        <v>168</v>
      </c>
      <c r="D96" s="12">
        <v>0.0</v>
      </c>
      <c r="E96" s="7" t="s">
        <v>129</v>
      </c>
      <c r="F96" s="7" t="s">
        <v>130</v>
      </c>
      <c r="G96" s="12">
        <v>0.0</v>
      </c>
      <c r="H96" s="7">
        <f t="shared" si="12"/>
        <v>100</v>
      </c>
      <c r="I96" s="7" t="s">
        <v>131</v>
      </c>
      <c r="J96" s="7" t="str">
        <f t="shared" si="13"/>
        <v>OK</v>
      </c>
    </row>
    <row r="97" ht="15.75" customHeight="1"/>
    <row r="98" ht="15.75" customHeight="1">
      <c r="A98" s="11" t="s">
        <v>169</v>
      </c>
    </row>
    <row r="99" ht="15.75" customHeight="1">
      <c r="A99" s="6" t="s">
        <v>96</v>
      </c>
      <c r="B99" s="6" t="s">
        <v>45</v>
      </c>
      <c r="C99" s="6" t="s">
        <v>97</v>
      </c>
      <c r="D99" s="6" t="s">
        <v>98</v>
      </c>
      <c r="E99" s="6" t="s">
        <v>99</v>
      </c>
      <c r="F99" s="6" t="s">
        <v>100</v>
      </c>
      <c r="G99" s="6" t="s">
        <v>101</v>
      </c>
      <c r="H99" s="6" t="s">
        <v>47</v>
      </c>
      <c r="I99" s="6" t="s">
        <v>102</v>
      </c>
      <c r="J99" s="6" t="s">
        <v>103</v>
      </c>
    </row>
    <row r="100" ht="15.75" customHeight="1">
      <c r="A100" s="7" t="s">
        <v>170</v>
      </c>
      <c r="B100" s="7" t="s">
        <v>51</v>
      </c>
      <c r="C100" s="7" t="s">
        <v>171</v>
      </c>
      <c r="D100" s="12">
        <v>0.0</v>
      </c>
      <c r="E100" s="7" t="s">
        <v>129</v>
      </c>
      <c r="F100" s="7" t="s">
        <v>130</v>
      </c>
      <c r="G100" s="12">
        <v>0.0</v>
      </c>
      <c r="H100" s="7">
        <f t="shared" ref="H100:H102" si="14">IF(F100="Lower",MAX(0,MIN(100,(G100/D100)*100)),IF(F100="Higher",MIN(100,(D100/G100)*100),IF(F100="Zero",MAX(0,100-(D100*10)),IF(F100="Boolean",IF(D100="Yes",100,0),IF(F100="BooleanInverse",IF(D100="No",100,0),"")))))</f>
        <v>100</v>
      </c>
      <c r="I100" s="7" t="s">
        <v>131</v>
      </c>
      <c r="J100" s="7" t="str">
        <f t="shared" ref="J100:J102" si="15">IF(H100="","",IF(H100&lt;70,"Fix","OK"))</f>
        <v>OK</v>
      </c>
    </row>
    <row r="101" ht="15.75" customHeight="1">
      <c r="A101" s="7" t="s">
        <v>172</v>
      </c>
      <c r="B101" s="7" t="s">
        <v>51</v>
      </c>
      <c r="C101" s="7" t="s">
        <v>173</v>
      </c>
      <c r="D101" s="12">
        <v>0.0</v>
      </c>
      <c r="E101" s="7" t="s">
        <v>129</v>
      </c>
      <c r="F101" s="7" t="s">
        <v>130</v>
      </c>
      <c r="G101" s="12">
        <v>0.0</v>
      </c>
      <c r="H101" s="7">
        <f t="shared" si="14"/>
        <v>100</v>
      </c>
      <c r="I101" s="7" t="s">
        <v>131</v>
      </c>
      <c r="J101" s="7" t="str">
        <f t="shared" si="15"/>
        <v>OK</v>
      </c>
    </row>
    <row r="102" ht="15.75" customHeight="1">
      <c r="A102" s="7" t="s">
        <v>174</v>
      </c>
      <c r="B102" s="7" t="s">
        <v>51</v>
      </c>
      <c r="C102" s="7" t="s">
        <v>175</v>
      </c>
      <c r="D102" s="12">
        <v>0.0</v>
      </c>
      <c r="E102" s="7" t="s">
        <v>129</v>
      </c>
      <c r="F102" s="7" t="s">
        <v>130</v>
      </c>
      <c r="G102" s="12">
        <v>0.0</v>
      </c>
      <c r="H102" s="7">
        <f t="shared" si="14"/>
        <v>100</v>
      </c>
      <c r="I102" s="7" t="s">
        <v>131</v>
      </c>
      <c r="J102" s="7" t="str">
        <f t="shared" si="15"/>
        <v>OK</v>
      </c>
    </row>
    <row r="103" ht="15.75" customHeight="1"/>
    <row r="104" ht="15.75" customHeight="1">
      <c r="A104" s="11" t="s">
        <v>176</v>
      </c>
    </row>
    <row r="105" ht="15.75" customHeight="1">
      <c r="A105" s="6" t="s">
        <v>96</v>
      </c>
      <c r="B105" s="6" t="s">
        <v>45</v>
      </c>
      <c r="C105" s="6" t="s">
        <v>97</v>
      </c>
      <c r="D105" s="6" t="s">
        <v>98</v>
      </c>
      <c r="E105" s="6" t="s">
        <v>99</v>
      </c>
      <c r="F105" s="6" t="s">
        <v>100</v>
      </c>
      <c r="G105" s="6" t="s">
        <v>101</v>
      </c>
      <c r="H105" s="6" t="s">
        <v>47</v>
      </c>
      <c r="I105" s="6" t="s">
        <v>102</v>
      </c>
      <c r="J105" s="6" t="s">
        <v>103</v>
      </c>
    </row>
    <row r="106" ht="15.75" customHeight="1">
      <c r="A106" s="7" t="s">
        <v>177</v>
      </c>
      <c r="B106" s="7" t="s">
        <v>58</v>
      </c>
      <c r="C106" s="7" t="s">
        <v>178</v>
      </c>
      <c r="D106" s="12">
        <v>0.0</v>
      </c>
      <c r="E106" s="7" t="s">
        <v>129</v>
      </c>
      <c r="F106" s="7" t="s">
        <v>130</v>
      </c>
      <c r="G106" s="12">
        <v>0.0</v>
      </c>
      <c r="H106" s="7">
        <f t="shared" ref="H106:H108" si="16">IF(F106="Lower",MAX(0,MIN(100,(G106/D106)*100)),IF(F106="Higher",MIN(100,(D106/G106)*100),IF(F106="Zero",MAX(0,100-(D106*10)),IF(F106="Boolean",IF(D106="Yes",100,0),IF(F106="BooleanInverse",IF(D106="No",100,0),"")))))</f>
        <v>100</v>
      </c>
      <c r="I106" s="7" t="s">
        <v>131</v>
      </c>
      <c r="J106" s="7" t="str">
        <f t="shared" ref="J106:J108" si="17">IF(H106="","",IF(H106&lt;70,"Fix","OK"))</f>
        <v>OK</v>
      </c>
    </row>
    <row r="107" ht="15.75" customHeight="1">
      <c r="A107" s="7" t="s">
        <v>179</v>
      </c>
      <c r="B107" s="7" t="s">
        <v>58</v>
      </c>
      <c r="C107" s="7" t="s">
        <v>180</v>
      </c>
      <c r="D107" s="12">
        <v>0.0</v>
      </c>
      <c r="E107" s="7" t="s">
        <v>129</v>
      </c>
      <c r="F107" s="7" t="s">
        <v>130</v>
      </c>
      <c r="G107" s="12">
        <v>0.0</v>
      </c>
      <c r="H107" s="7">
        <f t="shared" si="16"/>
        <v>100</v>
      </c>
      <c r="I107" s="7" t="s">
        <v>131</v>
      </c>
      <c r="J107" s="7" t="str">
        <f t="shared" si="17"/>
        <v>OK</v>
      </c>
    </row>
    <row r="108" ht="15.75" customHeight="1">
      <c r="A108" s="7" t="s">
        <v>181</v>
      </c>
      <c r="B108" s="7" t="s">
        <v>58</v>
      </c>
      <c r="C108" s="7" t="s">
        <v>182</v>
      </c>
      <c r="D108" s="12">
        <v>0.0</v>
      </c>
      <c r="E108" s="7" t="s">
        <v>129</v>
      </c>
      <c r="F108" s="7" t="s">
        <v>130</v>
      </c>
      <c r="G108" s="12">
        <v>0.0</v>
      </c>
      <c r="H108" s="7">
        <f t="shared" si="16"/>
        <v>100</v>
      </c>
      <c r="I108" s="7" t="s">
        <v>131</v>
      </c>
      <c r="J108" s="7" t="str">
        <f t="shared" si="17"/>
        <v>OK</v>
      </c>
    </row>
    <row r="109" ht="15.75" customHeight="1"/>
    <row r="110" ht="15.75" customHeight="1">
      <c r="A110" s="11" t="s">
        <v>183</v>
      </c>
    </row>
    <row r="111" ht="15.75" customHeight="1">
      <c r="A111" s="6" t="s">
        <v>96</v>
      </c>
      <c r="B111" s="6" t="s">
        <v>45</v>
      </c>
      <c r="C111" s="6" t="s">
        <v>97</v>
      </c>
      <c r="D111" s="6" t="s">
        <v>98</v>
      </c>
      <c r="E111" s="6" t="s">
        <v>99</v>
      </c>
      <c r="F111" s="6" t="s">
        <v>100</v>
      </c>
      <c r="G111" s="6" t="s">
        <v>101</v>
      </c>
      <c r="H111" s="6" t="s">
        <v>47</v>
      </c>
      <c r="I111" s="6" t="s">
        <v>102</v>
      </c>
      <c r="J111" s="6" t="s">
        <v>103</v>
      </c>
    </row>
    <row r="112" ht="15.75" customHeight="1">
      <c r="A112" s="7" t="s">
        <v>184</v>
      </c>
      <c r="B112" s="7" t="s">
        <v>65</v>
      </c>
      <c r="C112" s="7" t="s">
        <v>185</v>
      </c>
      <c r="D112" s="12">
        <v>0.0</v>
      </c>
      <c r="E112" s="7" t="s">
        <v>129</v>
      </c>
      <c r="F112" s="7" t="s">
        <v>130</v>
      </c>
      <c r="G112" s="12">
        <v>0.0</v>
      </c>
      <c r="H112" s="7">
        <f t="shared" ref="H112:H114" si="18">IF(F112="Lower",MAX(0,MIN(100,(G112/D112)*100)),IF(F112="Higher",MIN(100,(D112/G112)*100),IF(F112="Zero",MAX(0,100-(D112*10)),IF(F112="Boolean",IF(D112="Yes",100,0),IF(F112="BooleanInverse",IF(D112="No",100,0),"")))))</f>
        <v>100</v>
      </c>
      <c r="I112" s="7" t="s">
        <v>131</v>
      </c>
      <c r="J112" s="7" t="str">
        <f t="shared" ref="J112:J114" si="19">IF(H112="","",IF(H112&lt;70,"Fix","OK"))</f>
        <v>OK</v>
      </c>
    </row>
    <row r="113" ht="15.75" customHeight="1">
      <c r="A113" s="7" t="s">
        <v>186</v>
      </c>
      <c r="B113" s="7" t="s">
        <v>65</v>
      </c>
      <c r="C113" s="7" t="s">
        <v>187</v>
      </c>
      <c r="D113" s="12">
        <v>0.0</v>
      </c>
      <c r="E113" s="7" t="s">
        <v>129</v>
      </c>
      <c r="F113" s="7" t="s">
        <v>130</v>
      </c>
      <c r="G113" s="12">
        <v>0.0</v>
      </c>
      <c r="H113" s="7">
        <f t="shared" si="18"/>
        <v>100</v>
      </c>
      <c r="I113" s="7" t="s">
        <v>131</v>
      </c>
      <c r="J113" s="7" t="str">
        <f t="shared" si="19"/>
        <v>OK</v>
      </c>
    </row>
    <row r="114" ht="15.75" customHeight="1">
      <c r="A114" s="7" t="s">
        <v>188</v>
      </c>
      <c r="B114" s="7" t="s">
        <v>65</v>
      </c>
      <c r="C114" s="7" t="s">
        <v>189</v>
      </c>
      <c r="D114" s="12">
        <v>0.0</v>
      </c>
      <c r="E114" s="7" t="s">
        <v>129</v>
      </c>
      <c r="F114" s="7" t="s">
        <v>130</v>
      </c>
      <c r="G114" s="12">
        <v>0.0</v>
      </c>
      <c r="H114" s="7">
        <f t="shared" si="18"/>
        <v>100</v>
      </c>
      <c r="I114" s="7" t="s">
        <v>131</v>
      </c>
      <c r="J114" s="7" t="str">
        <f t="shared" si="19"/>
        <v>OK</v>
      </c>
    </row>
    <row r="115" ht="15.75" customHeight="1"/>
    <row r="116" ht="15.75" customHeight="1">
      <c r="A116" s="11" t="s">
        <v>190</v>
      </c>
    </row>
    <row r="117" ht="15.75" customHeight="1">
      <c r="A117" s="6" t="s">
        <v>96</v>
      </c>
      <c r="B117" s="6" t="s">
        <v>45</v>
      </c>
      <c r="C117" s="6" t="s">
        <v>97</v>
      </c>
      <c r="D117" s="6" t="s">
        <v>98</v>
      </c>
      <c r="E117" s="6" t="s">
        <v>99</v>
      </c>
      <c r="F117" s="6" t="s">
        <v>100</v>
      </c>
      <c r="G117" s="6" t="s">
        <v>101</v>
      </c>
      <c r="H117" s="6" t="s">
        <v>47</v>
      </c>
      <c r="I117" s="6" t="s">
        <v>102</v>
      </c>
      <c r="J117" s="6" t="s">
        <v>103</v>
      </c>
    </row>
    <row r="118" ht="15.75" customHeight="1">
      <c r="A118" s="7" t="s">
        <v>191</v>
      </c>
      <c r="B118" s="7" t="s">
        <v>72</v>
      </c>
      <c r="C118" s="7" t="s">
        <v>192</v>
      </c>
      <c r="D118" s="12">
        <v>0.0</v>
      </c>
      <c r="E118" s="7" t="s">
        <v>129</v>
      </c>
      <c r="F118" s="7" t="s">
        <v>130</v>
      </c>
      <c r="G118" s="12">
        <v>0.0</v>
      </c>
      <c r="H118" s="7">
        <f t="shared" ref="H118:H120" si="20">IF(F118="Lower",MAX(0,MIN(100,(G118/D118)*100)),IF(F118="Higher",MIN(100,(D118/G118)*100),IF(F118="Zero",MAX(0,100-(D118*10)),IF(F118="Boolean",IF(D118="Yes",100,0),IF(F118="BooleanInverse",IF(D118="No",100,0),"")))))</f>
        <v>100</v>
      </c>
      <c r="I118" s="7" t="s">
        <v>131</v>
      </c>
      <c r="J118" s="7" t="str">
        <f t="shared" ref="J118:J120" si="21">IF(H118="","",IF(H118&lt;70,"Fix","OK"))</f>
        <v>OK</v>
      </c>
    </row>
    <row r="119" ht="15.75" customHeight="1">
      <c r="A119" s="7" t="s">
        <v>193</v>
      </c>
      <c r="B119" s="7" t="s">
        <v>72</v>
      </c>
      <c r="C119" s="7" t="s">
        <v>194</v>
      </c>
      <c r="D119" s="12">
        <v>0.0</v>
      </c>
      <c r="E119" s="7" t="s">
        <v>129</v>
      </c>
      <c r="F119" s="7" t="s">
        <v>130</v>
      </c>
      <c r="G119" s="12">
        <v>0.0</v>
      </c>
      <c r="H119" s="7">
        <f t="shared" si="20"/>
        <v>100</v>
      </c>
      <c r="I119" s="7" t="s">
        <v>131</v>
      </c>
      <c r="J119" s="7" t="str">
        <f t="shared" si="21"/>
        <v>OK</v>
      </c>
    </row>
    <row r="120" ht="15.75" customHeight="1">
      <c r="A120" s="7" t="s">
        <v>195</v>
      </c>
      <c r="B120" s="7" t="s">
        <v>72</v>
      </c>
      <c r="C120" s="7" t="s">
        <v>196</v>
      </c>
      <c r="D120" s="12">
        <v>0.0</v>
      </c>
      <c r="E120" s="7" t="s">
        <v>129</v>
      </c>
      <c r="F120" s="7" t="s">
        <v>130</v>
      </c>
      <c r="G120" s="12">
        <v>0.0</v>
      </c>
      <c r="H120" s="7">
        <f t="shared" si="20"/>
        <v>100</v>
      </c>
      <c r="I120" s="7" t="s">
        <v>131</v>
      </c>
      <c r="J120" s="7" t="str">
        <f t="shared" si="21"/>
        <v>OK</v>
      </c>
    </row>
    <row r="121" ht="15.75" customHeight="1"/>
    <row r="122" ht="15.75" customHeight="1">
      <c r="A122" s="11" t="s">
        <v>197</v>
      </c>
    </row>
    <row r="123" ht="15.75" customHeight="1">
      <c r="A123" s="6" t="s">
        <v>96</v>
      </c>
      <c r="B123" s="6" t="s">
        <v>45</v>
      </c>
      <c r="C123" s="6" t="s">
        <v>97</v>
      </c>
      <c r="D123" s="6" t="s">
        <v>98</v>
      </c>
      <c r="E123" s="6" t="s">
        <v>99</v>
      </c>
      <c r="F123" s="6" t="s">
        <v>100</v>
      </c>
      <c r="G123" s="6" t="s">
        <v>101</v>
      </c>
      <c r="H123" s="6" t="s">
        <v>47</v>
      </c>
      <c r="I123" s="6" t="s">
        <v>102</v>
      </c>
      <c r="J123" s="6" t="s">
        <v>103</v>
      </c>
    </row>
    <row r="124" ht="15.75" customHeight="1">
      <c r="A124" s="7" t="s">
        <v>198</v>
      </c>
      <c r="B124" s="7" t="s">
        <v>79</v>
      </c>
      <c r="C124" s="7" t="s">
        <v>199</v>
      </c>
      <c r="D124" s="12">
        <v>0.0</v>
      </c>
      <c r="E124" s="7" t="s">
        <v>129</v>
      </c>
      <c r="F124" s="7" t="s">
        <v>130</v>
      </c>
      <c r="G124" s="12">
        <v>0.0</v>
      </c>
      <c r="H124" s="7">
        <f t="shared" ref="H124:H126" si="22">IF(F124="Lower",MAX(0,MIN(100,(G124/D124)*100)),IF(F124="Higher",MIN(100,(D124/G124)*100),IF(F124="Zero",MAX(0,100-(D124*10)),IF(F124="Boolean",IF(D124="Yes",100,0),IF(F124="BooleanInverse",IF(D124="No",100,0),"")))))</f>
        <v>100</v>
      </c>
      <c r="I124" s="7" t="s">
        <v>131</v>
      </c>
      <c r="J124" s="7" t="str">
        <f t="shared" ref="J124:J126" si="23">IF(H124="","",IF(H124&lt;70,"Fix","OK"))</f>
        <v>OK</v>
      </c>
    </row>
    <row r="125" ht="15.75" customHeight="1">
      <c r="A125" s="7" t="s">
        <v>200</v>
      </c>
      <c r="B125" s="7" t="s">
        <v>79</v>
      </c>
      <c r="C125" s="7" t="s">
        <v>201</v>
      </c>
      <c r="D125" s="12">
        <v>0.0</v>
      </c>
      <c r="E125" s="7" t="s">
        <v>129</v>
      </c>
      <c r="F125" s="7" t="s">
        <v>130</v>
      </c>
      <c r="G125" s="12">
        <v>0.0</v>
      </c>
      <c r="H125" s="7">
        <f t="shared" si="22"/>
        <v>100</v>
      </c>
      <c r="I125" s="7" t="s">
        <v>131</v>
      </c>
      <c r="J125" s="7" t="str">
        <f t="shared" si="23"/>
        <v>OK</v>
      </c>
    </row>
    <row r="126" ht="15.75" customHeight="1">
      <c r="A126" s="7" t="s">
        <v>202</v>
      </c>
      <c r="B126" s="7" t="s">
        <v>79</v>
      </c>
      <c r="C126" s="7" t="s">
        <v>203</v>
      </c>
      <c r="D126" s="12">
        <v>0.0</v>
      </c>
      <c r="E126" s="7" t="s">
        <v>129</v>
      </c>
      <c r="F126" s="7" t="s">
        <v>130</v>
      </c>
      <c r="G126" s="12">
        <v>0.0</v>
      </c>
      <c r="H126" s="7">
        <f t="shared" si="22"/>
        <v>100</v>
      </c>
      <c r="I126" s="7" t="s">
        <v>131</v>
      </c>
      <c r="J126" s="7" t="str">
        <f t="shared" si="23"/>
        <v>OK</v>
      </c>
    </row>
    <row r="127" ht="15.75" customHeight="1"/>
    <row r="128" ht="15.75" customHeight="1">
      <c r="A128" s="11" t="s">
        <v>204</v>
      </c>
    </row>
    <row r="129" ht="15.75" customHeight="1">
      <c r="A129" s="6" t="s">
        <v>96</v>
      </c>
      <c r="B129" s="6" t="s">
        <v>45</v>
      </c>
      <c r="C129" s="6" t="s">
        <v>97</v>
      </c>
      <c r="D129" s="6" t="s">
        <v>98</v>
      </c>
      <c r="E129" s="6" t="s">
        <v>99</v>
      </c>
      <c r="F129" s="6" t="s">
        <v>100</v>
      </c>
      <c r="G129" s="6" t="s">
        <v>101</v>
      </c>
      <c r="H129" s="6" t="s">
        <v>47</v>
      </c>
      <c r="I129" s="6" t="s">
        <v>102</v>
      </c>
      <c r="J129" s="6" t="s">
        <v>103</v>
      </c>
    </row>
    <row r="130" ht="15.75" customHeight="1">
      <c r="A130" s="7" t="s">
        <v>205</v>
      </c>
      <c r="B130" s="7" t="s">
        <v>84</v>
      </c>
      <c r="C130" s="7" t="s">
        <v>206</v>
      </c>
      <c r="D130" s="12">
        <v>0.0</v>
      </c>
      <c r="E130" s="7" t="s">
        <v>129</v>
      </c>
      <c r="F130" s="7" t="s">
        <v>130</v>
      </c>
      <c r="G130" s="12">
        <v>0.0</v>
      </c>
      <c r="H130" s="7">
        <f t="shared" ref="H130:H132" si="24">IF(F130="Lower",MAX(0,MIN(100,(G130/D130)*100)),IF(F130="Higher",MIN(100,(D130/G130)*100),IF(F130="Zero",MAX(0,100-(D130*10)),IF(F130="Boolean",IF(D130="Yes",100,0),IF(F130="BooleanInverse",IF(D130="No",100,0),"")))))</f>
        <v>100</v>
      </c>
      <c r="I130" s="7" t="s">
        <v>131</v>
      </c>
      <c r="J130" s="7" t="str">
        <f t="shared" ref="J130:J132" si="25">IF(H130="","",IF(H130&lt;70,"Fix","OK"))</f>
        <v>OK</v>
      </c>
    </row>
    <row r="131" ht="15.75" customHeight="1">
      <c r="A131" s="7" t="s">
        <v>207</v>
      </c>
      <c r="B131" s="7" t="s">
        <v>84</v>
      </c>
      <c r="C131" s="7" t="s">
        <v>208</v>
      </c>
      <c r="D131" s="12">
        <v>0.0</v>
      </c>
      <c r="E131" s="7" t="s">
        <v>129</v>
      </c>
      <c r="F131" s="7" t="s">
        <v>130</v>
      </c>
      <c r="G131" s="12">
        <v>0.0</v>
      </c>
      <c r="H131" s="7">
        <f t="shared" si="24"/>
        <v>100</v>
      </c>
      <c r="I131" s="7" t="s">
        <v>131</v>
      </c>
      <c r="J131" s="7" t="str">
        <f t="shared" si="25"/>
        <v>OK</v>
      </c>
    </row>
    <row r="132" ht="15.75" customHeight="1">
      <c r="A132" s="7" t="s">
        <v>209</v>
      </c>
      <c r="B132" s="7" t="s">
        <v>84</v>
      </c>
      <c r="C132" s="7" t="s">
        <v>210</v>
      </c>
      <c r="D132" s="12">
        <v>0.0</v>
      </c>
      <c r="E132" s="7" t="s">
        <v>129</v>
      </c>
      <c r="F132" s="7" t="s">
        <v>130</v>
      </c>
      <c r="G132" s="12">
        <v>0.0</v>
      </c>
      <c r="H132" s="7">
        <f t="shared" si="24"/>
        <v>100</v>
      </c>
      <c r="I132" s="7" t="s">
        <v>131</v>
      </c>
      <c r="J132" s="7" t="str">
        <f t="shared" si="25"/>
        <v>OK</v>
      </c>
    </row>
    <row r="133" ht="15.75" customHeight="1"/>
    <row r="134" ht="15.75" customHeight="1">
      <c r="A134" s="11" t="s">
        <v>211</v>
      </c>
    </row>
    <row r="135" ht="15.75" customHeight="1">
      <c r="A135" s="6" t="s">
        <v>96</v>
      </c>
      <c r="B135" s="6" t="s">
        <v>45</v>
      </c>
      <c r="C135" s="6" t="s">
        <v>97</v>
      </c>
      <c r="D135" s="6" t="s">
        <v>98</v>
      </c>
      <c r="E135" s="6" t="s">
        <v>99</v>
      </c>
      <c r="F135" s="6" t="s">
        <v>100</v>
      </c>
      <c r="G135" s="6" t="s">
        <v>101</v>
      </c>
      <c r="H135" s="6" t="s">
        <v>47</v>
      </c>
      <c r="I135" s="6" t="s">
        <v>102</v>
      </c>
      <c r="J135" s="6" t="s">
        <v>103</v>
      </c>
    </row>
    <row r="136" ht="15.75" customHeight="1">
      <c r="A136" s="7" t="s">
        <v>212</v>
      </c>
      <c r="B136" s="7" t="s">
        <v>53</v>
      </c>
      <c r="C136" s="7" t="s">
        <v>213</v>
      </c>
      <c r="D136" s="12">
        <v>0.0</v>
      </c>
      <c r="E136" s="7" t="s">
        <v>129</v>
      </c>
      <c r="F136" s="7" t="s">
        <v>130</v>
      </c>
      <c r="G136" s="12">
        <v>0.0</v>
      </c>
      <c r="H136" s="7">
        <f t="shared" ref="H136:H138" si="26">IF(F136="Lower",MAX(0,MIN(100,(G136/D136)*100)),IF(F136="Higher",MIN(100,(D136/G136)*100),IF(F136="Zero",MAX(0,100-(D136*10)),IF(F136="Boolean",IF(D136="Yes",100,0),IF(F136="BooleanInverse",IF(D136="No",100,0),"")))))</f>
        <v>100</v>
      </c>
      <c r="I136" s="7" t="s">
        <v>131</v>
      </c>
      <c r="J136" s="7" t="str">
        <f t="shared" ref="J136:J138" si="27">IF(H136="","",IF(H136&lt;70,"Fix","OK"))</f>
        <v>OK</v>
      </c>
    </row>
    <row r="137" ht="15.75" customHeight="1">
      <c r="A137" s="7" t="s">
        <v>214</v>
      </c>
      <c r="B137" s="7" t="s">
        <v>53</v>
      </c>
      <c r="C137" s="7" t="s">
        <v>215</v>
      </c>
      <c r="D137" s="12">
        <v>0.0</v>
      </c>
      <c r="E137" s="7" t="s">
        <v>129</v>
      </c>
      <c r="F137" s="7" t="s">
        <v>130</v>
      </c>
      <c r="G137" s="12">
        <v>0.0</v>
      </c>
      <c r="H137" s="7">
        <f t="shared" si="26"/>
        <v>100</v>
      </c>
      <c r="I137" s="7" t="s">
        <v>131</v>
      </c>
      <c r="J137" s="7" t="str">
        <f t="shared" si="27"/>
        <v>OK</v>
      </c>
    </row>
    <row r="138" ht="15.75" customHeight="1">
      <c r="A138" s="7" t="s">
        <v>216</v>
      </c>
      <c r="B138" s="7" t="s">
        <v>53</v>
      </c>
      <c r="C138" s="7" t="s">
        <v>217</v>
      </c>
      <c r="D138" s="12">
        <v>0.0</v>
      </c>
      <c r="E138" s="7" t="s">
        <v>129</v>
      </c>
      <c r="F138" s="7" t="s">
        <v>130</v>
      </c>
      <c r="G138" s="12">
        <v>0.0</v>
      </c>
      <c r="H138" s="7">
        <f t="shared" si="26"/>
        <v>100</v>
      </c>
      <c r="I138" s="7" t="s">
        <v>131</v>
      </c>
      <c r="J138" s="7" t="str">
        <f t="shared" si="27"/>
        <v>OK</v>
      </c>
    </row>
    <row r="139" ht="15.75" customHeight="1"/>
    <row r="140" ht="15.75" customHeight="1">
      <c r="A140" s="11" t="s">
        <v>218</v>
      </c>
    </row>
    <row r="141" ht="15.75" customHeight="1">
      <c r="A141" s="6" t="s">
        <v>96</v>
      </c>
      <c r="B141" s="6" t="s">
        <v>45</v>
      </c>
      <c r="C141" s="6" t="s">
        <v>97</v>
      </c>
      <c r="D141" s="6" t="s">
        <v>98</v>
      </c>
      <c r="E141" s="6" t="s">
        <v>99</v>
      </c>
      <c r="F141" s="6" t="s">
        <v>100</v>
      </c>
      <c r="G141" s="6" t="s">
        <v>101</v>
      </c>
      <c r="H141" s="6" t="s">
        <v>47</v>
      </c>
      <c r="I141" s="6" t="s">
        <v>102</v>
      </c>
      <c r="J141" s="6" t="s">
        <v>103</v>
      </c>
    </row>
    <row r="142" ht="15.75" customHeight="1">
      <c r="A142" s="7" t="s">
        <v>219</v>
      </c>
      <c r="B142" s="7" t="s">
        <v>60</v>
      </c>
      <c r="C142" s="7" t="s">
        <v>220</v>
      </c>
      <c r="D142" s="12">
        <v>0.0</v>
      </c>
      <c r="E142" s="7" t="s">
        <v>129</v>
      </c>
      <c r="F142" s="7" t="s">
        <v>130</v>
      </c>
      <c r="G142" s="12">
        <v>0.0</v>
      </c>
      <c r="H142" s="7">
        <f t="shared" ref="H142:H144" si="28">IF(F142="Lower",MAX(0,MIN(100,(G142/D142)*100)),IF(F142="Higher",MIN(100,(D142/G142)*100),IF(F142="Zero",MAX(0,100-(D142*10)),IF(F142="Boolean",IF(D142="Yes",100,0),IF(F142="BooleanInverse",IF(D142="No",100,0),"")))))</f>
        <v>100</v>
      </c>
      <c r="I142" s="7" t="s">
        <v>131</v>
      </c>
      <c r="J142" s="7" t="str">
        <f t="shared" ref="J142:J144" si="29">IF(H142="","",IF(H142&lt;70,"Fix","OK"))</f>
        <v>OK</v>
      </c>
    </row>
    <row r="143" ht="15.75" customHeight="1">
      <c r="A143" s="7" t="s">
        <v>221</v>
      </c>
      <c r="B143" s="7" t="s">
        <v>60</v>
      </c>
      <c r="C143" s="7" t="s">
        <v>222</v>
      </c>
      <c r="D143" s="12">
        <v>0.0</v>
      </c>
      <c r="E143" s="7" t="s">
        <v>129</v>
      </c>
      <c r="F143" s="7" t="s">
        <v>130</v>
      </c>
      <c r="G143" s="12">
        <v>0.0</v>
      </c>
      <c r="H143" s="7">
        <f t="shared" si="28"/>
        <v>100</v>
      </c>
      <c r="I143" s="7" t="s">
        <v>131</v>
      </c>
      <c r="J143" s="7" t="str">
        <f t="shared" si="29"/>
        <v>OK</v>
      </c>
    </row>
    <row r="144" ht="15.75" customHeight="1">
      <c r="A144" s="7" t="s">
        <v>223</v>
      </c>
      <c r="B144" s="7" t="s">
        <v>60</v>
      </c>
      <c r="C144" s="7" t="s">
        <v>224</v>
      </c>
      <c r="D144" s="12">
        <v>0.0</v>
      </c>
      <c r="E144" s="7" t="s">
        <v>129</v>
      </c>
      <c r="F144" s="7" t="s">
        <v>130</v>
      </c>
      <c r="G144" s="12">
        <v>0.0</v>
      </c>
      <c r="H144" s="7">
        <f t="shared" si="28"/>
        <v>100</v>
      </c>
      <c r="I144" s="7" t="s">
        <v>131</v>
      </c>
      <c r="J144" s="7" t="str">
        <f t="shared" si="29"/>
        <v>OK</v>
      </c>
    </row>
    <row r="145" ht="15.75" customHeight="1"/>
    <row r="146" ht="15.75" customHeight="1">
      <c r="A146" s="11" t="s">
        <v>225</v>
      </c>
    </row>
    <row r="147" ht="15.75" customHeight="1">
      <c r="A147" s="6" t="s">
        <v>96</v>
      </c>
      <c r="B147" s="6" t="s">
        <v>45</v>
      </c>
      <c r="C147" s="6" t="s">
        <v>97</v>
      </c>
      <c r="D147" s="6" t="s">
        <v>98</v>
      </c>
      <c r="E147" s="6" t="s">
        <v>99</v>
      </c>
      <c r="F147" s="6" t="s">
        <v>100</v>
      </c>
      <c r="G147" s="6" t="s">
        <v>101</v>
      </c>
      <c r="H147" s="6" t="s">
        <v>47</v>
      </c>
      <c r="I147" s="6" t="s">
        <v>102</v>
      </c>
      <c r="J147" s="6" t="s">
        <v>103</v>
      </c>
    </row>
    <row r="148" ht="15.75" customHeight="1">
      <c r="A148" s="7" t="s">
        <v>226</v>
      </c>
      <c r="B148" s="7" t="s">
        <v>67</v>
      </c>
      <c r="C148" s="7" t="s">
        <v>227</v>
      </c>
      <c r="D148" s="12">
        <v>0.0</v>
      </c>
      <c r="E148" s="7" t="s">
        <v>129</v>
      </c>
      <c r="F148" s="7" t="s">
        <v>130</v>
      </c>
      <c r="G148" s="12">
        <v>0.0</v>
      </c>
      <c r="H148" s="7">
        <f t="shared" ref="H148:H150" si="30">IF(F148="Lower",MAX(0,MIN(100,(G148/D148)*100)),IF(F148="Higher",MIN(100,(D148/G148)*100),IF(F148="Zero",MAX(0,100-(D148*10)),IF(F148="Boolean",IF(D148="Yes",100,0),IF(F148="BooleanInverse",IF(D148="No",100,0),"")))))</f>
        <v>100</v>
      </c>
      <c r="I148" s="7" t="s">
        <v>131</v>
      </c>
      <c r="J148" s="7" t="str">
        <f t="shared" ref="J148:J150" si="31">IF(H148="","",IF(H148&lt;70,"Fix","OK"))</f>
        <v>OK</v>
      </c>
    </row>
    <row r="149" ht="15.75" customHeight="1">
      <c r="A149" s="7" t="s">
        <v>228</v>
      </c>
      <c r="B149" s="7" t="s">
        <v>67</v>
      </c>
      <c r="C149" s="7" t="s">
        <v>166</v>
      </c>
      <c r="D149" s="12">
        <v>0.0</v>
      </c>
      <c r="E149" s="7" t="s">
        <v>129</v>
      </c>
      <c r="F149" s="7" t="s">
        <v>130</v>
      </c>
      <c r="G149" s="12">
        <v>0.0</v>
      </c>
      <c r="H149" s="7">
        <f t="shared" si="30"/>
        <v>100</v>
      </c>
      <c r="I149" s="7" t="s">
        <v>131</v>
      </c>
      <c r="J149" s="7" t="str">
        <f t="shared" si="31"/>
        <v>OK</v>
      </c>
    </row>
    <row r="150" ht="15.75" customHeight="1">
      <c r="A150" s="7" t="s">
        <v>229</v>
      </c>
      <c r="B150" s="7" t="s">
        <v>67</v>
      </c>
      <c r="C150" s="7" t="s">
        <v>230</v>
      </c>
      <c r="D150" s="12">
        <v>0.0</v>
      </c>
      <c r="E150" s="7" t="s">
        <v>129</v>
      </c>
      <c r="F150" s="7" t="s">
        <v>130</v>
      </c>
      <c r="G150" s="12">
        <v>0.0</v>
      </c>
      <c r="H150" s="7">
        <f t="shared" si="30"/>
        <v>100</v>
      </c>
      <c r="I150" s="7" t="s">
        <v>131</v>
      </c>
      <c r="J150" s="7" t="str">
        <f t="shared" si="31"/>
        <v>OK</v>
      </c>
    </row>
    <row r="151" ht="15.75" customHeight="1"/>
    <row r="152" ht="15.75" customHeight="1">
      <c r="A152" s="11" t="s">
        <v>231</v>
      </c>
    </row>
    <row r="153" ht="15.75" customHeight="1">
      <c r="A153" s="6" t="s">
        <v>96</v>
      </c>
      <c r="B153" s="6" t="s">
        <v>45</v>
      </c>
      <c r="C153" s="6" t="s">
        <v>97</v>
      </c>
      <c r="D153" s="6" t="s">
        <v>98</v>
      </c>
      <c r="E153" s="6" t="s">
        <v>99</v>
      </c>
      <c r="F153" s="6" t="s">
        <v>100</v>
      </c>
      <c r="G153" s="6" t="s">
        <v>101</v>
      </c>
      <c r="H153" s="6" t="s">
        <v>47</v>
      </c>
      <c r="I153" s="6" t="s">
        <v>102</v>
      </c>
      <c r="J153" s="6" t="s">
        <v>103</v>
      </c>
    </row>
    <row r="154" ht="15.75" customHeight="1">
      <c r="A154" s="7" t="s">
        <v>232</v>
      </c>
      <c r="B154" s="7" t="s">
        <v>74</v>
      </c>
      <c r="C154" s="7" t="s">
        <v>233</v>
      </c>
      <c r="D154" s="12">
        <v>0.0</v>
      </c>
      <c r="E154" s="7" t="s">
        <v>129</v>
      </c>
      <c r="F154" s="7" t="s">
        <v>130</v>
      </c>
      <c r="G154" s="12">
        <v>0.0</v>
      </c>
      <c r="H154" s="7">
        <f t="shared" ref="H154:H156" si="32">IF(F154="Lower",MAX(0,MIN(100,(G154/D154)*100)),IF(F154="Higher",MIN(100,(D154/G154)*100),IF(F154="Zero",MAX(0,100-(D154*10)),IF(F154="Boolean",IF(D154="Yes",100,0),IF(F154="BooleanInverse",IF(D154="No",100,0),"")))))</f>
        <v>100</v>
      </c>
      <c r="I154" s="7" t="s">
        <v>131</v>
      </c>
      <c r="J154" s="7" t="str">
        <f t="shared" ref="J154:J156" si="33">IF(H154="","",IF(H154&lt;70,"Fix","OK"))</f>
        <v>OK</v>
      </c>
    </row>
    <row r="155" ht="15.75" customHeight="1">
      <c r="A155" s="7" t="s">
        <v>234</v>
      </c>
      <c r="B155" s="7" t="s">
        <v>74</v>
      </c>
      <c r="C155" s="7" t="s">
        <v>235</v>
      </c>
      <c r="D155" s="12">
        <v>0.0</v>
      </c>
      <c r="E155" s="7" t="s">
        <v>129</v>
      </c>
      <c r="F155" s="7" t="s">
        <v>130</v>
      </c>
      <c r="G155" s="12">
        <v>0.0</v>
      </c>
      <c r="H155" s="7">
        <f t="shared" si="32"/>
        <v>100</v>
      </c>
      <c r="I155" s="7" t="s">
        <v>131</v>
      </c>
      <c r="J155" s="7" t="str">
        <f t="shared" si="33"/>
        <v>OK</v>
      </c>
    </row>
    <row r="156" ht="15.75" customHeight="1">
      <c r="A156" s="7" t="s">
        <v>236</v>
      </c>
      <c r="B156" s="7" t="s">
        <v>74</v>
      </c>
      <c r="C156" s="7" t="s">
        <v>237</v>
      </c>
      <c r="D156" s="12">
        <v>0.0</v>
      </c>
      <c r="E156" s="7" t="s">
        <v>129</v>
      </c>
      <c r="F156" s="7" t="s">
        <v>130</v>
      </c>
      <c r="G156" s="12">
        <v>0.0</v>
      </c>
      <c r="H156" s="7">
        <f t="shared" si="32"/>
        <v>100</v>
      </c>
      <c r="I156" s="7" t="s">
        <v>131</v>
      </c>
      <c r="J156" s="7" t="str">
        <f t="shared" si="33"/>
        <v>OK</v>
      </c>
    </row>
    <row r="157" ht="15.75" customHeight="1"/>
    <row r="158" ht="15.75" customHeight="1">
      <c r="A158" s="11" t="s">
        <v>238</v>
      </c>
    </row>
    <row r="159" ht="15.75" customHeight="1">
      <c r="A159" s="6" t="s">
        <v>96</v>
      </c>
      <c r="B159" s="6" t="s">
        <v>45</v>
      </c>
      <c r="C159" s="6" t="s">
        <v>97</v>
      </c>
      <c r="D159" s="6" t="s">
        <v>98</v>
      </c>
      <c r="E159" s="6" t="s">
        <v>99</v>
      </c>
      <c r="F159" s="6" t="s">
        <v>100</v>
      </c>
      <c r="G159" s="6" t="s">
        <v>101</v>
      </c>
      <c r="H159" s="6" t="s">
        <v>47</v>
      </c>
      <c r="I159" s="6" t="s">
        <v>102</v>
      </c>
      <c r="J159" s="6" t="s">
        <v>103</v>
      </c>
    </row>
    <row r="160" ht="15.75" customHeight="1">
      <c r="A160" s="7" t="s">
        <v>239</v>
      </c>
      <c r="B160" s="7" t="s">
        <v>81</v>
      </c>
      <c r="C160" s="7" t="s">
        <v>240</v>
      </c>
      <c r="D160" s="12">
        <v>0.0</v>
      </c>
      <c r="E160" s="7" t="s">
        <v>129</v>
      </c>
      <c r="F160" s="7" t="s">
        <v>130</v>
      </c>
      <c r="G160" s="12">
        <v>0.0</v>
      </c>
      <c r="H160" s="7">
        <f t="shared" ref="H160:H162" si="34">IF(F160="Lower",MAX(0,MIN(100,(G160/D160)*100)),IF(F160="Higher",MIN(100,(D160/G160)*100),IF(F160="Zero",MAX(0,100-(D160*10)),IF(F160="Boolean",IF(D160="Yes",100,0),IF(F160="BooleanInverse",IF(D160="No",100,0),"")))))</f>
        <v>100</v>
      </c>
      <c r="I160" s="7" t="s">
        <v>131</v>
      </c>
      <c r="J160" s="7" t="str">
        <f t="shared" ref="J160:J162" si="35">IF(H160="","",IF(H160&lt;70,"Fix","OK"))</f>
        <v>OK</v>
      </c>
    </row>
    <row r="161" ht="15.75" customHeight="1">
      <c r="A161" s="7" t="s">
        <v>241</v>
      </c>
      <c r="B161" s="7" t="s">
        <v>81</v>
      </c>
      <c r="C161" s="7" t="s">
        <v>242</v>
      </c>
      <c r="D161" s="12">
        <v>0.0</v>
      </c>
      <c r="E161" s="7" t="s">
        <v>129</v>
      </c>
      <c r="F161" s="7" t="s">
        <v>130</v>
      </c>
      <c r="G161" s="12">
        <v>0.0</v>
      </c>
      <c r="H161" s="7">
        <f t="shared" si="34"/>
        <v>100</v>
      </c>
      <c r="I161" s="7" t="s">
        <v>131</v>
      </c>
      <c r="J161" s="7" t="str">
        <f t="shared" si="35"/>
        <v>OK</v>
      </c>
    </row>
    <row r="162" ht="15.75" customHeight="1">
      <c r="A162" s="7" t="s">
        <v>243</v>
      </c>
      <c r="B162" s="7" t="s">
        <v>81</v>
      </c>
      <c r="C162" s="7" t="s">
        <v>244</v>
      </c>
      <c r="D162" s="12">
        <v>0.0</v>
      </c>
      <c r="E162" s="7" t="s">
        <v>129</v>
      </c>
      <c r="F162" s="7" t="s">
        <v>130</v>
      </c>
      <c r="G162" s="12">
        <v>0.0</v>
      </c>
      <c r="H162" s="7">
        <f t="shared" si="34"/>
        <v>100</v>
      </c>
      <c r="I162" s="7" t="s">
        <v>131</v>
      </c>
      <c r="J162" s="7" t="str">
        <f t="shared" si="35"/>
        <v>OK</v>
      </c>
    </row>
    <row r="163" ht="15.75" customHeight="1"/>
    <row r="164" ht="15.75" customHeight="1">
      <c r="A164" s="11" t="s">
        <v>245</v>
      </c>
    </row>
    <row r="165" ht="15.75" customHeight="1">
      <c r="A165" s="6" t="s">
        <v>96</v>
      </c>
      <c r="B165" s="6" t="s">
        <v>45</v>
      </c>
      <c r="C165" s="6" t="s">
        <v>97</v>
      </c>
      <c r="D165" s="6" t="s">
        <v>98</v>
      </c>
      <c r="E165" s="6" t="s">
        <v>99</v>
      </c>
      <c r="F165" s="6" t="s">
        <v>100</v>
      </c>
      <c r="G165" s="6" t="s">
        <v>101</v>
      </c>
      <c r="H165" s="6" t="s">
        <v>47</v>
      </c>
      <c r="I165" s="6" t="s">
        <v>102</v>
      </c>
      <c r="J165" s="6" t="s">
        <v>103</v>
      </c>
    </row>
    <row r="166" ht="15.75" customHeight="1">
      <c r="A166" s="7" t="s">
        <v>246</v>
      </c>
      <c r="B166" s="7" t="s">
        <v>86</v>
      </c>
      <c r="C166" s="7" t="s">
        <v>247</v>
      </c>
      <c r="D166" s="12">
        <v>0.0</v>
      </c>
      <c r="E166" s="7" t="s">
        <v>129</v>
      </c>
      <c r="F166" s="7" t="s">
        <v>130</v>
      </c>
      <c r="G166" s="12">
        <v>0.0</v>
      </c>
      <c r="H166" s="7">
        <f t="shared" ref="H166:H168" si="36">IF(F166="Lower",MAX(0,MIN(100,(G166/D166)*100)),IF(F166="Higher",MIN(100,(D166/G166)*100),IF(F166="Zero",MAX(0,100-(D166*10)),IF(F166="Boolean",IF(D166="Yes",100,0),IF(F166="BooleanInverse",IF(D166="No",100,0),"")))))</f>
        <v>100</v>
      </c>
      <c r="I166" s="7" t="s">
        <v>131</v>
      </c>
      <c r="J166" s="7" t="str">
        <f t="shared" ref="J166:J168" si="37">IF(H166="","",IF(H166&lt;70,"Fix","OK"))</f>
        <v>OK</v>
      </c>
    </row>
    <row r="167" ht="15.75" customHeight="1">
      <c r="A167" s="7" t="s">
        <v>248</v>
      </c>
      <c r="B167" s="7" t="s">
        <v>86</v>
      </c>
      <c r="C167" s="7" t="s">
        <v>249</v>
      </c>
      <c r="D167" s="12">
        <v>0.0</v>
      </c>
      <c r="E167" s="7" t="s">
        <v>129</v>
      </c>
      <c r="F167" s="7" t="s">
        <v>130</v>
      </c>
      <c r="G167" s="12">
        <v>0.0</v>
      </c>
      <c r="H167" s="7">
        <f t="shared" si="36"/>
        <v>100</v>
      </c>
      <c r="I167" s="7" t="s">
        <v>131</v>
      </c>
      <c r="J167" s="7" t="str">
        <f t="shared" si="37"/>
        <v>OK</v>
      </c>
    </row>
    <row r="168" ht="15.75" customHeight="1">
      <c r="A168" s="7" t="s">
        <v>250</v>
      </c>
      <c r="B168" s="7" t="s">
        <v>86</v>
      </c>
      <c r="C168" s="7" t="s">
        <v>251</v>
      </c>
      <c r="D168" s="12">
        <v>0.0</v>
      </c>
      <c r="E168" s="7" t="s">
        <v>129</v>
      </c>
      <c r="F168" s="7" t="s">
        <v>130</v>
      </c>
      <c r="G168" s="12">
        <v>0.0</v>
      </c>
      <c r="H168" s="7">
        <f t="shared" si="36"/>
        <v>100</v>
      </c>
      <c r="I168" s="7" t="s">
        <v>131</v>
      </c>
      <c r="J168" s="7" t="str">
        <f t="shared" si="37"/>
        <v>OK</v>
      </c>
    </row>
    <row r="169" ht="15.75" customHeight="1"/>
    <row r="170" ht="15.75" customHeight="1"/>
    <row r="171" ht="15.75" customHeight="1">
      <c r="A171" s="3" t="s">
        <v>252</v>
      </c>
      <c r="B171" s="4"/>
      <c r="C171" s="4"/>
      <c r="D171" s="4"/>
      <c r="E171" s="4"/>
      <c r="F171" s="4"/>
      <c r="G171" s="4"/>
      <c r="H171" s="4"/>
      <c r="I171" s="4"/>
      <c r="J171" s="5"/>
    </row>
    <row r="172" ht="25.5" customHeight="1">
      <c r="A172" s="2" t="s">
        <v>253</v>
      </c>
    </row>
    <row r="173" ht="15.75" customHeight="1"/>
    <row r="174" ht="15.75" customHeight="1">
      <c r="A174" s="6" t="s">
        <v>254</v>
      </c>
      <c r="B174" s="6" t="s">
        <v>45</v>
      </c>
      <c r="C174" s="6" t="s">
        <v>255</v>
      </c>
      <c r="D174" s="6" t="s">
        <v>256</v>
      </c>
      <c r="E174" s="6" t="s">
        <v>257</v>
      </c>
      <c r="F174" s="6" t="s">
        <v>258</v>
      </c>
    </row>
    <row r="175" ht="15.75" customHeight="1">
      <c r="A175" s="7" t="s">
        <v>259</v>
      </c>
      <c r="B175" s="7" t="s">
        <v>48</v>
      </c>
      <c r="C175" s="13" t="s">
        <v>260</v>
      </c>
      <c r="D175" s="13" t="s">
        <v>261</v>
      </c>
      <c r="E175" s="7">
        <f t="shared" ref="E175:E178" si="38">VLOOKUP(B175,$A$31:$E$35,4,0)*(100-VLOOKUP(B175,$A$31:$E$35,5,0))</f>
        <v>0</v>
      </c>
      <c r="F175" s="7" t="s">
        <v>262</v>
      </c>
    </row>
    <row r="176" ht="15.75" customHeight="1">
      <c r="A176" s="7" t="s">
        <v>263</v>
      </c>
      <c r="B176" s="7" t="s">
        <v>55</v>
      </c>
      <c r="C176" s="13" t="s">
        <v>264</v>
      </c>
      <c r="D176" s="13" t="s">
        <v>265</v>
      </c>
      <c r="E176" s="7">
        <f t="shared" si="38"/>
        <v>4.838709677</v>
      </c>
      <c r="F176" s="7" t="s">
        <v>262</v>
      </c>
    </row>
    <row r="177" ht="15.75" customHeight="1">
      <c r="A177" s="7" t="s">
        <v>266</v>
      </c>
      <c r="B177" s="7" t="s">
        <v>69</v>
      </c>
      <c r="C177" s="13" t="s">
        <v>267</v>
      </c>
      <c r="D177" s="13" t="s">
        <v>268</v>
      </c>
      <c r="E177" s="7">
        <f t="shared" si="38"/>
        <v>0.7894736842</v>
      </c>
      <c r="F177" s="7" t="s">
        <v>269</v>
      </c>
    </row>
    <row r="178" ht="15.75" customHeight="1">
      <c r="A178" s="7" t="s">
        <v>270</v>
      </c>
      <c r="B178" s="7" t="s">
        <v>76</v>
      </c>
      <c r="C178" s="13" t="s">
        <v>271</v>
      </c>
      <c r="D178" s="13" t="s">
        <v>272</v>
      </c>
      <c r="E178" s="7">
        <f t="shared" si="38"/>
        <v>3.333333333</v>
      </c>
      <c r="F178" s="7" t="s">
        <v>269</v>
      </c>
    </row>
    <row r="179" ht="15.75" customHeight="1">
      <c r="A179" s="7" t="s">
        <v>273</v>
      </c>
      <c r="B179" s="7" t="s">
        <v>49</v>
      </c>
      <c r="C179" s="13" t="s">
        <v>274</v>
      </c>
      <c r="D179" s="13" t="s">
        <v>275</v>
      </c>
      <c r="E179" s="7">
        <f t="shared" ref="E179:E180" si="39">VLOOKUP(B179,$G$31:$K$36,4,0)*(100-VLOOKUP(B179,$G$31:$K$36,5,0))</f>
        <v>0.6666666667</v>
      </c>
      <c r="F179" s="7" t="s">
        <v>276</v>
      </c>
    </row>
    <row r="180" ht="15.75" customHeight="1">
      <c r="A180" s="7" t="s">
        <v>277</v>
      </c>
      <c r="B180" s="7" t="s">
        <v>77</v>
      </c>
      <c r="C180" s="13" t="s">
        <v>278</v>
      </c>
      <c r="D180" s="13" t="s">
        <v>279</v>
      </c>
      <c r="E180" s="7">
        <f t="shared" si="39"/>
        <v>0.5</v>
      </c>
      <c r="F180" s="7" t="s">
        <v>276</v>
      </c>
    </row>
    <row r="181" ht="15.75" customHeight="1">
      <c r="A181" s="7" t="s">
        <v>280</v>
      </c>
      <c r="B181" s="7" t="s">
        <v>51</v>
      </c>
      <c r="C181" s="13" t="s">
        <v>281</v>
      </c>
      <c r="D181" s="13" t="s">
        <v>282</v>
      </c>
      <c r="E181" s="7">
        <f>VLOOKUP(B181,$M$31:$Q$36,4,0)*(100-VLOOKUP(B181,$M$31:$Q$36,5,0))</f>
        <v>0</v>
      </c>
      <c r="F181" s="7" t="s">
        <v>276</v>
      </c>
    </row>
    <row r="182" ht="15.75" customHeight="1">
      <c r="A182" s="7" t="s">
        <v>283</v>
      </c>
      <c r="B182" s="7" t="s">
        <v>53</v>
      </c>
      <c r="C182" s="13" t="s">
        <v>284</v>
      </c>
      <c r="D182" s="13" t="s">
        <v>285</v>
      </c>
      <c r="E182" s="7">
        <f>VLOOKUP(B182,$S$31:$W$36,4,0)*(100-VLOOKUP(B182,$S$31:$W$36,5,0))</f>
        <v>0</v>
      </c>
      <c r="F182" s="7" t="s">
        <v>276</v>
      </c>
    </row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29:E29"/>
    <mergeCell ref="G29:K29"/>
    <mergeCell ref="M29:Q29"/>
    <mergeCell ref="S29:W29"/>
    <mergeCell ref="A2:J2"/>
    <mergeCell ref="A4:J4"/>
    <mergeCell ref="A5:J5"/>
    <mergeCell ref="A14:J14"/>
    <mergeCell ref="A16:J16"/>
    <mergeCell ref="A26:J26"/>
    <mergeCell ref="A27:R27"/>
    <mergeCell ref="A39:J39"/>
    <mergeCell ref="A40:J40"/>
    <mergeCell ref="A41:J41"/>
    <mergeCell ref="A42:J42"/>
    <mergeCell ref="A43:J43"/>
    <mergeCell ref="A46:J46"/>
    <mergeCell ref="A50:J50"/>
    <mergeCell ref="A54:J54"/>
    <mergeCell ref="A58:J58"/>
    <mergeCell ref="A62:J62"/>
    <mergeCell ref="A68:J68"/>
    <mergeCell ref="A74:J74"/>
    <mergeCell ref="A80:J80"/>
    <mergeCell ref="A86:J86"/>
    <mergeCell ref="A134:J134"/>
    <mergeCell ref="A140:J140"/>
    <mergeCell ref="A146:J146"/>
    <mergeCell ref="A152:J152"/>
    <mergeCell ref="A158:J158"/>
    <mergeCell ref="A164:J164"/>
    <mergeCell ref="A171:J171"/>
    <mergeCell ref="A172:F172"/>
    <mergeCell ref="A92:J92"/>
    <mergeCell ref="A98:J98"/>
    <mergeCell ref="A104:J104"/>
    <mergeCell ref="A110:J110"/>
    <mergeCell ref="A116:J116"/>
    <mergeCell ref="A122:J122"/>
    <mergeCell ref="A128:J128"/>
  </mergeCells>
  <printOptions/>
  <pageMargins bottom="1.0" footer="0.0" header="0.0" left="0.75" right="0.75" top="1.0"/>
  <pageSetup paperSize="9" orientation="portrait"/>
  <drawing r:id="rId1"/>
</worksheet>
</file>